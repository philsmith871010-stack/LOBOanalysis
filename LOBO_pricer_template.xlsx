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ve" sheetId="1" state="visible" r:id="rId1"/>
    <sheet xmlns:r="http://schemas.openxmlformats.org/officeDocument/2006/relationships" name="Vol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Structure" sheetId="4" state="visible" r:id="rId4"/>
    <sheet xmlns:r="http://schemas.openxmlformats.org/officeDocument/2006/relationships" name="Results" sheetId="5" state="visible" r:id="rId5"/>
    <sheet xmlns:r="http://schemas.openxmlformats.org/officeDocument/2006/relationships" name="Portfolio" sheetId="6" state="visible" r:id="rId6"/>
    <sheet xmlns:r="http://schemas.openxmlformats.org/officeDocument/2006/relationships" name="Collater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Tenor</t>
        </is>
      </c>
      <c r="B1" s="1" t="inlineStr">
        <is>
          <t>Rate %</t>
        </is>
      </c>
      <c r="D1" t="inlineStr">
        <is>
          <t>Paste the SONIA OIS par rates here (tenor like 10Y, rate in %). Rows can be added; keep the header.</t>
        </is>
      </c>
    </row>
    <row r="2">
      <c r="A2" t="inlineStr">
        <is>
          <t>1Y</t>
        </is>
      </c>
      <c r="B2" s="2" t="n">
        <v>4.431</v>
      </c>
    </row>
    <row r="3">
      <c r="A3" t="inlineStr">
        <is>
          <t>2Y</t>
        </is>
      </c>
      <c r="B3" s="2" t="n">
        <v>4.629</v>
      </c>
    </row>
    <row r="4">
      <c r="A4" t="inlineStr">
        <is>
          <t>3Y</t>
        </is>
      </c>
      <c r="B4" s="2" t="n">
        <v>4.652</v>
      </c>
    </row>
    <row r="5">
      <c r="A5" t="inlineStr">
        <is>
          <t>5Y</t>
        </is>
      </c>
      <c r="B5" s="2" t="n">
        <v>4.657</v>
      </c>
    </row>
    <row r="6">
      <c r="A6" t="inlineStr">
        <is>
          <t>7Y</t>
        </is>
      </c>
      <c r="B6" s="2" t="n">
        <v>4.698</v>
      </c>
    </row>
    <row r="7">
      <c r="A7" t="inlineStr">
        <is>
          <t>10Y</t>
        </is>
      </c>
      <c r="B7" s="2" t="n">
        <v>4.799</v>
      </c>
    </row>
    <row r="8">
      <c r="A8" t="inlineStr">
        <is>
          <t>15Y</t>
        </is>
      </c>
      <c r="B8" s="2" t="n">
        <v>4.958</v>
      </c>
    </row>
    <row r="9">
      <c r="A9" t="inlineStr">
        <is>
          <t>20Y</t>
        </is>
      </c>
      <c r="B9" s="2" t="n">
        <v>5.047</v>
      </c>
    </row>
    <row r="10">
      <c r="A10" t="inlineStr">
        <is>
          <t>30Y</t>
        </is>
      </c>
      <c r="B10" s="2" t="n">
        <v>5.055</v>
      </c>
    </row>
    <row r="11">
      <c r="A11" t="inlineStr">
        <is>
          <t>40Y</t>
        </is>
      </c>
      <c r="B11" s="2" t="n">
        <v>4.965</v>
      </c>
    </row>
    <row r="12">
      <c r="A12" t="inlineStr">
        <is>
          <t>50Y</t>
        </is>
      </c>
      <c r="B12" s="2" t="n">
        <v>4.851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Expiry (y)</t>
        </is>
      </c>
      <c r="B1" s="1" t="inlineStr">
        <is>
          <t>Tenor (y)</t>
        </is>
      </c>
      <c r="C1" s="1" t="inlineStr">
        <is>
          <t>ATM strike %</t>
        </is>
      </c>
      <c r="D1" s="1" t="n">
        <v>-250</v>
      </c>
      <c r="E1" s="1" t="n">
        <v>-225</v>
      </c>
      <c r="F1" s="1" t="n">
        <v>-200</v>
      </c>
      <c r="G1" s="1" t="n">
        <v>-175</v>
      </c>
      <c r="H1" s="1" t="n">
        <v>-100</v>
      </c>
      <c r="I1" s="1" t="n">
        <v>-150</v>
      </c>
      <c r="J1" s="1" t="n">
        <v>-50</v>
      </c>
      <c r="K1" s="1" t="n">
        <v>-125</v>
      </c>
      <c r="L1" s="1" t="n">
        <v>0</v>
      </c>
      <c r="M1" s="1" t="n">
        <v>50</v>
      </c>
      <c r="N1" s="1" t="n">
        <v>-75</v>
      </c>
      <c r="O1" s="1" t="n">
        <v>100</v>
      </c>
      <c r="P1" s="1" t="n">
        <v>-25</v>
      </c>
      <c r="Q1" s="1" t="n">
        <v>25</v>
      </c>
      <c r="R1" s="1" t="n">
        <v>75</v>
      </c>
      <c r="S1" s="1" t="n">
        <v>125</v>
      </c>
      <c r="T1" s="1" t="n">
        <v>150</v>
      </c>
      <c r="U1" s="1" t="n">
        <v>175</v>
      </c>
      <c r="V1" s="1" t="n">
        <v>200</v>
      </c>
      <c r="W1" s="1" t="n">
        <v>225</v>
      </c>
      <c r="X1" s="1" t="n">
        <v>250</v>
      </c>
    </row>
    <row r="2">
      <c r="A2" t="n">
        <v>0.25</v>
      </c>
      <c r="B2" t="n">
        <v>2</v>
      </c>
      <c r="C2" t="n">
        <v>4.95001</v>
      </c>
      <c r="D2" s="2" t="n">
        <v>106.68</v>
      </c>
      <c r="E2" s="2" t="n">
        <v>103.75</v>
      </c>
      <c r="F2" s="2" t="n">
        <v>100.46</v>
      </c>
      <c r="G2" s="2" t="n">
        <v>96.79000000000001</v>
      </c>
      <c r="H2" s="2" t="n">
        <v>82.48999999999999</v>
      </c>
      <c r="I2" s="2" t="n">
        <v>92.7</v>
      </c>
      <c r="J2" s="2" t="n">
        <v>70.77</v>
      </c>
      <c r="K2" s="2" t="n">
        <v>88.08</v>
      </c>
      <c r="L2" s="2" t="n">
        <v>69.39</v>
      </c>
      <c r="M2" s="2" t="n">
        <v>80.23</v>
      </c>
      <c r="N2" s="2" t="n">
        <v>75.84</v>
      </c>
      <c r="O2" s="2" t="n">
        <v>98.53</v>
      </c>
      <c r="P2" s="2" t="n">
        <v>68.77</v>
      </c>
      <c r="Q2" s="2" t="n">
        <v>73.53</v>
      </c>
      <c r="R2" s="2" t="n">
        <v>88.61</v>
      </c>
      <c r="S2" s="2" t="n">
        <v>108.8</v>
      </c>
      <c r="T2" s="2" t="n">
        <v>118.26</v>
      </c>
      <c r="U2" s="2" t="n">
        <v>126.69</v>
      </c>
      <c r="V2" s="2" t="n">
        <v>134.33</v>
      </c>
      <c r="W2" s="2" t="n">
        <v>141.48</v>
      </c>
      <c r="X2" s="2" t="n">
        <v>148.33</v>
      </c>
    </row>
    <row r="3">
      <c r="A3" t="n">
        <v>0.25</v>
      </c>
      <c r="B3" t="n">
        <v>30</v>
      </c>
      <c r="C3" t="n">
        <v>5.2844</v>
      </c>
      <c r="D3" s="2" t="n">
        <v>160.59</v>
      </c>
      <c r="E3" s="2" t="n">
        <v>157.44</v>
      </c>
      <c r="F3" s="2" t="n">
        <v>153.1</v>
      </c>
      <c r="G3" s="2" t="n">
        <v>147.65</v>
      </c>
      <c r="H3" s="2" t="n">
        <v>133.84</v>
      </c>
      <c r="I3" s="2" t="n">
        <v>141.96</v>
      </c>
      <c r="J3" s="2" t="n">
        <v>130.18</v>
      </c>
      <c r="K3" s="2" t="n">
        <v>137.22</v>
      </c>
      <c r="L3" s="2" t="n">
        <v>130.52</v>
      </c>
      <c r="M3" s="2" t="n">
        <v>135.48</v>
      </c>
      <c r="N3" s="2" t="n">
        <v>131.57</v>
      </c>
      <c r="O3" s="2" t="n">
        <v>143.27</v>
      </c>
      <c r="P3" s="2" t="n">
        <v>129.72</v>
      </c>
      <c r="Q3" s="2" t="n">
        <v>132.61</v>
      </c>
      <c r="R3" s="2" t="n">
        <v>139.04</v>
      </c>
      <c r="S3" s="2" t="n">
        <v>148.25</v>
      </c>
      <c r="T3" s="2" t="n">
        <v>154.06</v>
      </c>
      <c r="U3" s="2" t="n">
        <v>160.76</v>
      </c>
      <c r="V3" s="2" t="n">
        <v>168.23</v>
      </c>
      <c r="W3" s="2" t="n">
        <v>176.1</v>
      </c>
      <c r="X3" s="2" t="n">
        <v>183.97</v>
      </c>
    </row>
    <row r="4">
      <c r="A4" t="n">
        <v>1</v>
      </c>
      <c r="B4" t="n">
        <v>1</v>
      </c>
      <c r="C4" t="n">
        <v>5.11573</v>
      </c>
      <c r="D4" s="2" t="n">
        <v>98.45</v>
      </c>
      <c r="E4" s="2" t="n">
        <v>95.98999999999999</v>
      </c>
      <c r="F4" s="2" t="n">
        <v>93.06</v>
      </c>
      <c r="G4" s="2" t="n">
        <v>89.67</v>
      </c>
      <c r="H4" s="2" t="n">
        <v>79.90000000000001</v>
      </c>
      <c r="I4" s="2" t="n">
        <v>86.01000000000001</v>
      </c>
      <c r="J4" s="2" t="n">
        <v>77.78</v>
      </c>
      <c r="K4" s="2" t="n">
        <v>82.55</v>
      </c>
      <c r="L4" s="2" t="n">
        <v>79.75</v>
      </c>
      <c r="M4" s="2" t="n">
        <v>87.18000000000001</v>
      </c>
      <c r="N4" s="2" t="n">
        <v>78.34</v>
      </c>
      <c r="O4" s="2" t="n">
        <v>98.09</v>
      </c>
      <c r="P4" s="2" t="n">
        <v>78.20999999999999</v>
      </c>
      <c r="Q4" s="2" t="n">
        <v>82.73999999999999</v>
      </c>
      <c r="R4" s="2" t="n">
        <v>92.41</v>
      </c>
      <c r="S4" s="2" t="n">
        <v>104.09</v>
      </c>
      <c r="T4" s="2" t="n">
        <v>110.4</v>
      </c>
      <c r="U4" s="2" t="n">
        <v>116.97</v>
      </c>
      <c r="V4" s="2" t="n">
        <v>123.74</v>
      </c>
      <c r="W4" s="2" t="n">
        <v>130.63</v>
      </c>
      <c r="X4" s="2" t="n">
        <v>137.54</v>
      </c>
    </row>
    <row r="5">
      <c r="A5" t="n">
        <v>1</v>
      </c>
      <c r="B5" t="n">
        <v>5</v>
      </c>
      <c r="C5" t="n">
        <v>4.95101</v>
      </c>
      <c r="D5" s="2" t="n">
        <v>114.85</v>
      </c>
      <c r="E5" s="2" t="n">
        <v>113.06</v>
      </c>
      <c r="F5" s="2" t="n">
        <v>111.55</v>
      </c>
      <c r="G5" s="2" t="n">
        <v>110.51</v>
      </c>
      <c r="H5" s="2" t="n">
        <v>111.5</v>
      </c>
      <c r="I5" s="2" t="n">
        <v>110.15</v>
      </c>
      <c r="J5" s="2" t="n">
        <v>115.05</v>
      </c>
      <c r="K5" s="2" t="n">
        <v>110.5</v>
      </c>
      <c r="L5" s="2" t="n">
        <v>120.3</v>
      </c>
      <c r="M5" s="2" t="n">
        <v>127.71</v>
      </c>
      <c r="N5" s="2" t="n">
        <v>113.04</v>
      </c>
      <c r="O5" s="2" t="n">
        <v>137.6</v>
      </c>
      <c r="P5" s="2" t="n">
        <v>117.48</v>
      </c>
      <c r="Q5" s="2" t="n">
        <v>123.6</v>
      </c>
      <c r="R5" s="2" t="n">
        <v>132.45</v>
      </c>
      <c r="S5" s="2" t="n">
        <v>143.04</v>
      </c>
      <c r="T5" s="2" t="n">
        <v>148.67</v>
      </c>
      <c r="U5" s="2" t="n">
        <v>154.47</v>
      </c>
      <c r="V5" s="2" t="n">
        <v>160.39</v>
      </c>
      <c r="W5" s="2" t="n">
        <v>166.44</v>
      </c>
      <c r="X5" s="2" t="n">
        <v>172.6</v>
      </c>
    </row>
    <row r="6">
      <c r="A6" t="n">
        <v>1</v>
      </c>
      <c r="B6" t="n">
        <v>10</v>
      </c>
      <c r="C6" t="n">
        <v>5.10334</v>
      </c>
      <c r="D6" s="2" t="n">
        <v>138.83</v>
      </c>
      <c r="E6" s="2" t="n">
        <v>136.68</v>
      </c>
      <c r="F6" s="2" t="n">
        <v>134.95</v>
      </c>
      <c r="G6" s="2" t="n">
        <v>133.64</v>
      </c>
      <c r="H6" s="2" t="n">
        <v>131.63</v>
      </c>
      <c r="I6" s="2" t="n">
        <v>132.69</v>
      </c>
      <c r="J6" s="2" t="n">
        <v>131.74</v>
      </c>
      <c r="K6" s="2" t="n">
        <v>132.03</v>
      </c>
      <c r="L6" s="2" t="n">
        <v>133.61</v>
      </c>
      <c r="M6" s="2" t="n">
        <v>137.53</v>
      </c>
      <c r="N6" s="2" t="n">
        <v>131.51</v>
      </c>
      <c r="O6" s="2" t="n">
        <v>142.49</v>
      </c>
      <c r="P6" s="2" t="n">
        <v>132.4</v>
      </c>
      <c r="Q6" s="2" t="n">
        <v>135.41</v>
      </c>
      <c r="R6" s="2" t="n">
        <v>139.9</v>
      </c>
      <c r="S6" s="2" t="n">
        <v>145.29</v>
      </c>
      <c r="T6" s="2" t="n">
        <v>148.28</v>
      </c>
      <c r="U6" s="2" t="n">
        <v>151.46</v>
      </c>
      <c r="V6" s="2" t="n">
        <v>154.83</v>
      </c>
      <c r="W6" s="2" t="n">
        <v>158.38</v>
      </c>
      <c r="X6" s="2" t="n">
        <v>162.13</v>
      </c>
    </row>
    <row r="7">
      <c r="A7" t="n">
        <v>1</v>
      </c>
      <c r="B7" t="n">
        <v>30</v>
      </c>
      <c r="C7" t="n">
        <v>5.30174</v>
      </c>
      <c r="D7" s="2" t="n">
        <v>150.36</v>
      </c>
      <c r="E7" s="2" t="n">
        <v>148.33</v>
      </c>
      <c r="F7" s="2" t="n">
        <v>146.43</v>
      </c>
      <c r="G7" s="2" t="n">
        <v>144.68</v>
      </c>
      <c r="H7" s="2" t="n">
        <v>140.48</v>
      </c>
      <c r="I7" s="2" t="n">
        <v>143.11</v>
      </c>
      <c r="J7" s="2" t="n">
        <v>138.82</v>
      </c>
      <c r="K7" s="2" t="n">
        <v>141.71</v>
      </c>
      <c r="L7" s="2" t="n">
        <v>139.09</v>
      </c>
      <c r="M7" s="2" t="n">
        <v>141.66</v>
      </c>
      <c r="N7" s="2" t="n">
        <v>139.49</v>
      </c>
      <c r="O7" s="2" t="n">
        <v>144.82</v>
      </c>
      <c r="P7" s="2" t="n">
        <v>138.63</v>
      </c>
      <c r="Q7" s="2" t="n">
        <v>140.27</v>
      </c>
      <c r="R7" s="2" t="n">
        <v>143.18</v>
      </c>
      <c r="S7" s="2" t="n">
        <v>146.62</v>
      </c>
      <c r="T7" s="2" t="n">
        <v>148.59</v>
      </c>
      <c r="U7" s="2" t="n">
        <v>150.74</v>
      </c>
      <c r="V7" s="2" t="n">
        <v>153.11</v>
      </c>
      <c r="W7" s="2" t="n">
        <v>155.69</v>
      </c>
      <c r="X7" s="2" t="n">
        <v>158.5</v>
      </c>
    </row>
    <row r="8">
      <c r="A8" t="n">
        <v>5</v>
      </c>
      <c r="B8" t="n">
        <v>5</v>
      </c>
      <c r="C8" t="n">
        <v>5.1942</v>
      </c>
      <c r="D8" s="2" t="n">
        <v>125.71</v>
      </c>
      <c r="E8" s="2" t="n">
        <v>126.02</v>
      </c>
      <c r="F8" s="2" t="n">
        <v>126.38</v>
      </c>
      <c r="G8" s="2" t="n">
        <v>126.79</v>
      </c>
      <c r="H8" s="2" t="n">
        <v>128.36</v>
      </c>
      <c r="I8" s="2" t="n">
        <v>127.25</v>
      </c>
      <c r="J8" s="2" t="n">
        <v>129.88</v>
      </c>
      <c r="K8" s="2" t="n">
        <v>127.76</v>
      </c>
      <c r="L8" s="2" t="n">
        <v>131.97</v>
      </c>
      <c r="M8" s="2" t="n">
        <v>134.73</v>
      </c>
      <c r="N8" s="2" t="n">
        <v>129.06</v>
      </c>
      <c r="O8" s="2" t="n">
        <v>138.07</v>
      </c>
      <c r="P8" s="2" t="n">
        <v>130.85</v>
      </c>
      <c r="Q8" s="2" t="n">
        <v>133.26</v>
      </c>
      <c r="R8" s="2" t="n">
        <v>136.37</v>
      </c>
      <c r="S8" s="2" t="n">
        <v>139.8</v>
      </c>
      <c r="T8" s="2" t="n">
        <v>141.58</v>
      </c>
      <c r="U8" s="2" t="n">
        <v>143.4</v>
      </c>
      <c r="V8" s="2" t="n">
        <v>145.28</v>
      </c>
      <c r="W8" s="2" t="n">
        <v>147.21</v>
      </c>
      <c r="X8" s="2" t="n">
        <v>149.2</v>
      </c>
    </row>
    <row r="9">
      <c r="A9" t="n">
        <v>5</v>
      </c>
      <c r="B9" t="n">
        <v>10</v>
      </c>
      <c r="C9" t="n">
        <v>5.38246</v>
      </c>
      <c r="D9" s="2" t="n">
        <v>127.55</v>
      </c>
      <c r="E9" s="2" t="n">
        <v>127.5</v>
      </c>
      <c r="F9" s="2" t="n">
        <v>127.44</v>
      </c>
      <c r="G9" s="2" t="n">
        <v>127.37</v>
      </c>
      <c r="H9" s="2" t="n">
        <v>127.35</v>
      </c>
      <c r="I9" s="2" t="n">
        <v>127.33</v>
      </c>
      <c r="J9" s="2" t="n">
        <v>127.69</v>
      </c>
      <c r="K9" s="2" t="n">
        <v>127.31</v>
      </c>
      <c r="L9" s="2" t="n">
        <v>128.59</v>
      </c>
      <c r="M9" s="2" t="n">
        <v>130.28</v>
      </c>
      <c r="N9" s="2" t="n">
        <v>127.46</v>
      </c>
      <c r="O9" s="2" t="n">
        <v>132.49</v>
      </c>
      <c r="P9" s="2" t="n">
        <v>128.05</v>
      </c>
      <c r="Q9" s="2" t="n">
        <v>129.33</v>
      </c>
      <c r="R9" s="2" t="n">
        <v>131.39</v>
      </c>
      <c r="S9" s="2" t="n">
        <v>133.57</v>
      </c>
      <c r="T9" s="2" t="n">
        <v>134.64</v>
      </c>
      <c r="U9" s="2" t="n">
        <v>135.72</v>
      </c>
      <c r="V9" s="2" t="n">
        <v>136.81</v>
      </c>
      <c r="W9" s="2" t="n">
        <v>137.93</v>
      </c>
      <c r="X9" s="2" t="n">
        <v>139.09</v>
      </c>
    </row>
    <row r="10">
      <c r="A10" t="n">
        <v>10</v>
      </c>
      <c r="B10" t="n">
        <v>10</v>
      </c>
      <c r="C10" t="n">
        <v>5.66253</v>
      </c>
      <c r="D10" s="2" t="n">
        <v>126.55</v>
      </c>
      <c r="E10" s="2" t="n">
        <v>126.65</v>
      </c>
      <c r="F10" s="2" t="n">
        <v>126.72</v>
      </c>
      <c r="G10" s="2" t="n">
        <v>126.77</v>
      </c>
      <c r="H10" s="2" t="n">
        <v>126.81</v>
      </c>
      <c r="I10" s="2" t="n">
        <v>126.79</v>
      </c>
      <c r="J10" s="2" t="n">
        <v>126.88</v>
      </c>
      <c r="K10" s="2" t="n">
        <v>126.8</v>
      </c>
      <c r="L10" s="2" t="n">
        <v>127.13</v>
      </c>
      <c r="M10" s="2" t="n">
        <v>127.69</v>
      </c>
      <c r="N10" s="2" t="n">
        <v>126.83</v>
      </c>
      <c r="O10" s="2" t="n">
        <v>128.68</v>
      </c>
      <c r="P10" s="2" t="n">
        <v>126.97</v>
      </c>
      <c r="Q10" s="2" t="n">
        <v>127.36</v>
      </c>
      <c r="R10" s="2" t="n">
        <v>128.12</v>
      </c>
      <c r="S10" s="2" t="n">
        <v>129.32</v>
      </c>
      <c r="T10" s="2" t="n">
        <v>129.99</v>
      </c>
      <c r="U10" s="2" t="n">
        <v>130.69</v>
      </c>
      <c r="V10" s="2" t="n">
        <v>131.42</v>
      </c>
      <c r="W10" s="2" t="n">
        <v>132.2</v>
      </c>
      <c r="X10" s="2" t="n">
        <v>133.03</v>
      </c>
    </row>
    <row r="11">
      <c r="A11" t="n">
        <v>10</v>
      </c>
      <c r="B11" t="n">
        <v>30</v>
      </c>
      <c r="C11" t="n">
        <v>5.31779</v>
      </c>
      <c r="D11" s="2" t="n">
        <v>120.67</v>
      </c>
      <c r="E11" s="2" t="n">
        <v>120.77</v>
      </c>
      <c r="F11" s="2" t="n">
        <v>120.84</v>
      </c>
      <c r="G11" s="2" t="n">
        <v>120.88</v>
      </c>
      <c r="H11" s="2" t="n">
        <v>120.88</v>
      </c>
      <c r="I11" s="2" t="n">
        <v>120.89</v>
      </c>
      <c r="J11" s="2" t="n">
        <v>120.92</v>
      </c>
      <c r="K11" s="2" t="n">
        <v>120.89</v>
      </c>
      <c r="L11" s="2" t="n">
        <v>121.14</v>
      </c>
      <c r="M11" s="2" t="n">
        <v>121.7</v>
      </c>
      <c r="N11" s="2" t="n">
        <v>120.89</v>
      </c>
      <c r="O11" s="2" t="n">
        <v>122.71</v>
      </c>
      <c r="P11" s="2" t="n">
        <v>121</v>
      </c>
      <c r="Q11" s="2" t="n">
        <v>121.37</v>
      </c>
      <c r="R11" s="2" t="n">
        <v>122.14</v>
      </c>
      <c r="S11" s="2" t="n">
        <v>123.36</v>
      </c>
      <c r="T11" s="2" t="n">
        <v>124.06</v>
      </c>
      <c r="U11" s="2" t="n">
        <v>124.75</v>
      </c>
      <c r="V11" s="2" t="n">
        <v>125.5</v>
      </c>
      <c r="W11" s="2" t="n">
        <v>126.31</v>
      </c>
      <c r="X11" s="2" t="n">
        <v>127.18</v>
      </c>
    </row>
    <row r="13">
      <c r="A13" t="inlineStr">
        <is>
          <t>Normal vols in bp by offset from ATM (header row = offset in bp; any column order). Paste the screen grid row by row.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3" t="inlineStr">
        <is>
          <t>As-of date</t>
        </is>
      </c>
      <c r="B1" s="2" t="inlineStr">
        <is>
          <t>2026-09-22</t>
        </is>
      </c>
    </row>
    <row r="2">
      <c r="A2" s="3" t="inlineStr">
        <is>
          <t>Notional</t>
        </is>
      </c>
      <c r="B2" s="2" t="n">
        <v>10000000</v>
      </c>
    </row>
    <row r="3">
      <c r="A3" s="3" t="inlineStr">
        <is>
          <t>Mean reversion</t>
        </is>
      </c>
      <c r="B3" s="2" t="n">
        <v>0.03</v>
      </c>
    </row>
    <row r="4">
      <c r="A4" s="3" t="inlineStr">
        <is>
          <t>Bank take, collateral £</t>
        </is>
      </c>
      <c r="B4" s="2" t="n">
        <v>150000</v>
      </c>
    </row>
    <row r="5">
      <c r="A5" s="3" t="inlineStr">
        <is>
          <t>Bank take, no collateral £</t>
        </is>
      </c>
      <c r="B5" s="2" t="n">
        <v>350000</v>
      </c>
    </row>
    <row r="6">
      <c r="A6" s="3" t="inlineStr">
        <is>
          <t>bp of spread per premium point</t>
        </is>
      </c>
      <c r="B6" s="2" t="n">
        <v>23</v>
      </c>
    </row>
    <row r="7">
      <c r="A7" s="3" t="inlineStr">
        <is>
          <t>Investor minimum spread bp</t>
        </is>
      </c>
      <c r="B7" s="2" t="n">
        <v>250</v>
      </c>
    </row>
    <row r="8">
      <c r="A8" s="3" t="inlineStr">
        <is>
          <t>Investor target spread bp</t>
        </is>
      </c>
      <c r="B8" s="2" t="n">
        <v>300</v>
      </c>
    </row>
    <row r="9">
      <c r="A9" s="3" t="inlineStr">
        <is>
          <t>Run</t>
        </is>
      </c>
      <c r="B9" s="2" t="inlineStr">
        <is>
          <t>FALSE</t>
        </is>
      </c>
    </row>
    <row r="10">
      <c r="A10" s="3" t="inlineStr">
        <is>
          <t>Status</t>
        </is>
      </c>
      <c r="B10" t="inlineStr"/>
    </row>
    <row r="11">
      <c r="A11" s="3" t="inlineStr"/>
      <c r="B11" t="inlineStr"/>
    </row>
    <row r="12">
      <c r="A12" s="3" t="inlineStr">
        <is>
          <t>Notes</t>
        </is>
      </c>
      <c r="B12" t="inlineStr">
        <is>
          <t>Set Run to TRUE to price (when price_sheet.py --watch is running on the Mac). Status shows the last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3" t="inlineStr">
        <is>
          <t>Term (years)</t>
        </is>
      </c>
      <c r="B1" s="2" t="n">
        <v>40</v>
      </c>
    </row>
    <row r="2">
      <c r="A2" s="3" t="inlineStr">
        <is>
          <t>Fixed rate %</t>
        </is>
      </c>
      <c r="B2" s="2" t="n">
        <v>1.43</v>
      </c>
    </row>
    <row r="3">
      <c r="A3" s="3" t="inlineStr">
        <is>
          <t>First call (years)</t>
        </is>
      </c>
      <c r="B3" s="2" t="n">
        <v>2</v>
      </c>
    </row>
    <row r="4">
      <c r="A4" s="3" t="inlineStr">
        <is>
          <t>Last call (years)</t>
        </is>
      </c>
      <c r="B4" s="2" t="n">
        <v>15</v>
      </c>
    </row>
    <row r="5">
      <c r="A5" s="3" t="inlineStr">
        <is>
          <t>Frequency (months)</t>
        </is>
      </c>
      <c r="B5" s="2" t="n">
        <v>6</v>
      </c>
    </row>
    <row r="6">
      <c r="A6" s="3" t="inlineStr">
        <is>
          <t>Explicit call years</t>
        </is>
      </c>
      <c r="B6" s="2" t="inlineStr"/>
    </row>
    <row r="7">
      <c r="A7" s="3" t="inlineStr"/>
      <c r="B7" t="inlineStr"/>
    </row>
    <row r="8">
      <c r="A8" s="3" t="inlineStr">
        <is>
          <t>Notes</t>
        </is>
      </c>
      <c r="B8" t="inlineStr">
        <is>
          <t>Fixed rate: a number, or 'fair' to solve the model-fair rate and the dealt rates at the two take levels. Explicit call years (e.g. 2, 3, 5, 7, 10, 15) overrides first/last.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3" t="inlineStr">
        <is>
          <t>Priced at</t>
        </is>
      </c>
      <c r="B1" t="inlineStr">
        <is>
          <t>reference run 2026-09-22 (live data, 40y, semi-annual 2-15, at model-fair 1.10%)</t>
        </is>
      </c>
      <c r="E1" s="3" t="inlineStr">
        <is>
          <t>European ladder</t>
        </is>
      </c>
    </row>
    <row r="2">
      <c r="A2" s="3" t="inlineStr">
        <is>
          <t>Market as-of</t>
        </is>
      </c>
      <c r="B2" t="inlineStr">
        <is>
          <t>2026-09-22</t>
        </is>
      </c>
      <c r="E2" s="1" t="inlineStr">
        <is>
          <t>Expiry (y)</t>
        </is>
      </c>
      <c r="F2" s="1" t="inlineStr">
        <is>
          <t>Value £</t>
        </is>
      </c>
      <c r="G2" s="1" t="inlineStr">
        <is>
          <t>Forward swap £</t>
        </is>
      </c>
    </row>
    <row r="3">
      <c r="A3" s="3" t="inlineStr">
        <is>
          <t>Structure</t>
        </is>
      </c>
      <c r="B3" t="inlineStr">
        <is>
          <t>40y, calls 2-15y every 6m</t>
        </is>
      </c>
      <c r="E3" t="n">
        <v>2</v>
      </c>
      <c r="F3" t="n">
        <v>6001490</v>
      </c>
      <c r="G3" t="n">
        <v>5951713</v>
      </c>
    </row>
    <row r="4">
      <c r="A4" s="3" t="inlineStr">
        <is>
          <t>Model-fair rate %</t>
        </is>
      </c>
      <c r="B4" t="n">
        <v>1.1</v>
      </c>
    </row>
    <row r="5">
      <c r="A5" s="3" t="inlineStr">
        <is>
          <t>Dealt rate, collateral %</t>
        </is>
      </c>
      <c r="B5" t="n">
        <v>1.43</v>
      </c>
      <c r="E5" t="inlineStr">
        <is>
          <t>(reference values; the script rewrites this block on every run)</t>
        </is>
      </c>
    </row>
    <row r="6">
      <c r="A6" s="3" t="inlineStr">
        <is>
          <t>Dealt rate, no collateral %</t>
        </is>
      </c>
      <c r="B6" t="n">
        <v>1.85</v>
      </c>
    </row>
    <row r="7">
      <c r="A7" s="3" t="inlineStr">
        <is>
          <t>Fixed rate priced %</t>
        </is>
      </c>
      <c r="B7" t="n">
        <v>1.1</v>
      </c>
    </row>
    <row r="8">
      <c r="A8" s="3" t="inlineStr">
        <is>
          <t>Par swap rate %</t>
        </is>
      </c>
      <c r="B8" t="n">
        <v>4.905</v>
      </c>
    </row>
    <row r="9">
      <c r="A9" s="3" t="inlineStr">
        <is>
          <t>Annuity £ per 1%</t>
        </is>
      </c>
      <c r="B9" t="n">
        <v>1737393</v>
      </c>
    </row>
    <row r="10">
      <c r="A10" s="3" t="inlineStr">
        <is>
          <t>Cancel right, value to bank £</t>
        </is>
      </c>
      <c r="B10" t="n">
        <v>6612323</v>
      </c>
    </row>
    <row r="11">
      <c r="A11" s="3" t="inlineStr">
        <is>
          <t>Coupon discount, value to us £</t>
        </is>
      </c>
      <c r="B11" t="n">
        <v>6610459</v>
      </c>
    </row>
    <row r="12">
      <c r="A12" s="3" t="inlineStr">
        <is>
          <t>Bank's take £</t>
        </is>
      </c>
      <c r="B12" t="n">
        <v>1864</v>
      </c>
    </row>
    <row r="13">
      <c r="A13" s="3" t="inlineStr">
        <is>
          <t>Intrinsic (forward swap) £</t>
        </is>
      </c>
      <c r="B13" t="n">
        <v>5951713</v>
      </c>
    </row>
    <row r="14">
      <c r="A14" s="3" t="inlineStr">
        <is>
          <t>Best European £</t>
        </is>
      </c>
      <c r="B14" t="n">
        <v>6001490</v>
      </c>
    </row>
    <row r="15">
      <c r="A15" s="3" t="inlineStr">
        <is>
          <t>Best European expiry (y)</t>
        </is>
      </c>
      <c r="B15" t="n">
        <v>2</v>
      </c>
    </row>
    <row r="16">
      <c r="A16" s="3" t="inlineStr">
        <is>
          <t>Bermudan time value £</t>
        </is>
      </c>
      <c r="B16" t="n">
        <v>610832</v>
      </c>
    </row>
    <row r="17">
      <c r="A17" s="3" t="inlineStr">
        <is>
          <t>Multiple of best European</t>
        </is>
      </c>
      <c r="B17" t="n">
        <v>1.102</v>
      </c>
    </row>
    <row r="18">
      <c r="A18" s="3" t="inlineStr">
        <is>
          <t>£ per 10 bp of rate</t>
        </is>
      </c>
      <c r="B18" t="n">
        <v>44000</v>
      </c>
    </row>
    <row r="19">
      <c r="A19" s="3" t="inlineStr">
        <is>
          <t>Calibration error (max, relative)</t>
        </is>
      </c>
      <c r="B19" t="n">
        <v>0.0054</v>
      </c>
    </row>
    <row r="20">
      <c r="A20" s="3" t="inlineStr">
        <is>
          <t>Call dates</t>
        </is>
      </c>
      <c r="B20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LOBO term (y)</t>
        </is>
      </c>
      <c r="B1" s="1" t="inlineStr">
        <is>
          <t>Coupon %</t>
        </is>
      </c>
      <c r="C1" s="1" t="inlineStr">
        <is>
          <t>Premium (pts)</t>
        </is>
      </c>
      <c r="D1" s="1" t="inlineStr">
        <is>
          <t>Dealt rate % used</t>
        </is>
      </c>
      <c r="E1" s="1" t="inlineStr">
        <is>
          <t>Gross spread bp</t>
        </is>
      </c>
      <c r="F1" s="1" t="inlineStr">
        <is>
          <t>Net spread bp</t>
        </is>
      </c>
      <c r="G1" s="1" t="inlineStr">
        <is>
          <t>Verdict</t>
        </is>
      </c>
      <c r="I1" t="inlineStr">
        <is>
          <t>Uses the fixed rate priced on the Structure tab (Results!B7). For a different term, re-price with that term.</t>
        </is>
      </c>
    </row>
    <row r="2">
      <c r="A2" t="n">
        <v>40</v>
      </c>
      <c r="B2" s="2" t="n">
        <v>4</v>
      </c>
      <c r="C2" s="2" t="n">
        <v>1</v>
      </c>
      <c r="D2">
        <f>Results!$B$7</f>
        <v/>
      </c>
      <c r="E2">
        <f>ROUND((B2-D2)*100,0)</f>
        <v/>
      </c>
      <c r="F2">
        <f>E2-Settings!$B$6*C2</f>
        <v/>
      </c>
      <c r="G2">
        <f>IF(F2&gt;=Settings!$B$8,"target",IF(F2&gt;=Settings!$B$7,"minimum","out"))</f>
        <v/>
      </c>
    </row>
    <row r="3">
      <c r="A3" t="n">
        <v>40</v>
      </c>
      <c r="B3" s="2" t="n">
        <v>4.25</v>
      </c>
      <c r="C3" s="2" t="n">
        <v>1</v>
      </c>
      <c r="D3">
        <f>Results!$B$7</f>
        <v/>
      </c>
      <c r="E3">
        <f>ROUND((B3-D3)*100,0)</f>
        <v/>
      </c>
      <c r="F3">
        <f>E3-Settings!$B$6*C3</f>
        <v/>
      </c>
      <c r="G3">
        <f>IF(F3&gt;=Settings!$B$8,"target",IF(F3&gt;=Settings!$B$7,"minimum","out"))</f>
        <v/>
      </c>
    </row>
    <row r="4">
      <c r="A4" t="n">
        <v>40</v>
      </c>
      <c r="B4" s="2" t="n">
        <v>4.5</v>
      </c>
      <c r="C4" s="2" t="n">
        <v>2</v>
      </c>
      <c r="D4">
        <f>Results!$B$7</f>
        <v/>
      </c>
      <c r="E4">
        <f>ROUND((B4-D4)*100,0)</f>
        <v/>
      </c>
      <c r="F4">
        <f>E4-Settings!$B$6*C4</f>
        <v/>
      </c>
      <c r="G4">
        <f>IF(F4&gt;=Settings!$B$8,"target",IF(F4&gt;=Settings!$B$7,"minimum","out"))</f>
        <v/>
      </c>
    </row>
    <row r="5">
      <c r="A5" t="n">
        <v>40</v>
      </c>
      <c r="B5" s="2" t="n">
        <v>4.75</v>
      </c>
      <c r="C5" s="2" t="n">
        <v>2</v>
      </c>
      <c r="D5">
        <f>Results!$B$7</f>
        <v/>
      </c>
      <c r="E5">
        <f>ROUND((B5-D5)*100,0)</f>
        <v/>
      </c>
      <c r="F5">
        <f>E5-Settings!$B$6*C5</f>
        <v/>
      </c>
      <c r="G5">
        <f>IF(F5&gt;=Settings!$B$8,"target",IF(F5&gt;=Settings!$B$7,"minimum","out"))</f>
        <v/>
      </c>
    </row>
    <row r="6">
      <c r="A6" t="n">
        <v>40</v>
      </c>
      <c r="B6" s="2" t="n">
        <v>5</v>
      </c>
      <c r="C6" s="2" t="n">
        <v>2</v>
      </c>
      <c r="D6">
        <f>Results!$B$7</f>
        <v/>
      </c>
      <c r="E6">
        <f>ROUND((B6-D6)*100,0)</f>
        <v/>
      </c>
      <c r="F6">
        <f>E6-Settings!$B$6*C6</f>
        <v/>
      </c>
      <c r="G6">
        <f>IF(F6&gt;=Settings!$B$8,"target",IF(F6&gt;=Settings!$B$7,"minimum","out"))</f>
        <v/>
      </c>
    </row>
    <row r="7">
      <c r="A7" t="n">
        <v>40</v>
      </c>
      <c r="B7" s="2" t="n">
        <v>5.5</v>
      </c>
      <c r="C7" s="2" t="n">
        <v>3</v>
      </c>
      <c r="D7">
        <f>Results!$B$7</f>
        <v/>
      </c>
      <c r="E7">
        <f>ROUND((B7-D7)*100,0)</f>
        <v/>
      </c>
      <c r="F7">
        <f>E7-Settings!$B$6*C7</f>
        <v/>
      </c>
      <c r="G7">
        <f>IF(F7&gt;=Settings!$B$8,"target",IF(F7&gt;=Settings!$B$7,"minimum","out"))</f>
        <v/>
      </c>
    </row>
    <row r="8">
      <c r="A8" t="n">
        <v>50</v>
      </c>
      <c r="B8" s="2" t="n">
        <v>4.5</v>
      </c>
      <c r="C8" s="2" t="n">
        <v>2</v>
      </c>
      <c r="D8">
        <f>Results!$B$7</f>
        <v/>
      </c>
      <c r="E8">
        <f>ROUND((B8-D8)*100,0)</f>
        <v/>
      </c>
      <c r="F8">
        <f>E8-Settings!$B$6*C8</f>
        <v/>
      </c>
      <c r="G8">
        <f>IF(F8&gt;=Settings!$B$8,"target",IF(F8&gt;=Settings!$B$7,"minimum","out"))</f>
        <v/>
      </c>
    </row>
    <row r="9">
      <c r="A9" t="n">
        <v>50</v>
      </c>
      <c r="B9" s="2" t="n">
        <v>4.75</v>
      </c>
      <c r="C9" s="2" t="n">
        <v>2</v>
      </c>
      <c r="D9">
        <f>Results!$B$7</f>
        <v/>
      </c>
      <c r="E9">
        <f>ROUND((B9-D9)*100,0)</f>
        <v/>
      </c>
      <c r="F9">
        <f>E9-Settings!$B$6*C9</f>
        <v/>
      </c>
      <c r="G9">
        <f>IF(F9&gt;=Settings!$B$8,"target",IF(F9&gt;=Settings!$B$7,"minimum","out"))</f>
        <v/>
      </c>
    </row>
    <row r="10">
      <c r="A10" t="n">
        <v>50</v>
      </c>
      <c r="B10" s="2" t="n">
        <v>5</v>
      </c>
      <c r="C10" s="2" t="n">
        <v>3</v>
      </c>
      <c r="D10">
        <f>Results!$B$7</f>
        <v/>
      </c>
      <c r="E10">
        <f>ROUND((B10-D10)*100,0)</f>
        <v/>
      </c>
      <c r="F10">
        <f>E10-Settings!$B$6*C10</f>
        <v/>
      </c>
      <c r="G10">
        <f>IF(F10&gt;=Settings!$B$8,"target",IF(F10&gt;=Settings!$B$7,"minimum","out"))</f>
        <v/>
      </c>
    </row>
    <row r="11">
      <c r="A11" t="n">
        <v>50</v>
      </c>
      <c r="B11" s="2" t="n">
        <v>5.5</v>
      </c>
      <c r="C11" s="2" t="n">
        <v>3</v>
      </c>
      <c r="D11">
        <f>Results!$B$7</f>
        <v/>
      </c>
      <c r="E11">
        <f>ROUND((B11-D11)*100,0)</f>
        <v/>
      </c>
      <c r="F11">
        <f>E11-Settings!$B$6*C11</f>
        <v/>
      </c>
      <c r="G11">
        <f>IF(F11&gt;=Settings!$B$8,"target",IF(F11&gt;=Settings!$B$7,"minimum","out"))</f>
        <v/>
      </c>
    </row>
    <row r="12">
      <c r="A12" t="n">
        <v>30</v>
      </c>
      <c r="B12" s="2" t="n">
        <v>5</v>
      </c>
      <c r="C12" s="2" t="n">
        <v>1</v>
      </c>
      <c r="D12">
        <f>Results!$B$7</f>
        <v/>
      </c>
      <c r="E12">
        <f>ROUND((B12-D12)*100,0)</f>
        <v/>
      </c>
      <c r="F12">
        <f>E12-Settings!$B$6*C12</f>
        <v/>
      </c>
      <c r="G12">
        <f>IF(F12&gt;=Settings!$B$8,"target",IF(F12&gt;=Settings!$B$7,"minimum","out"))</f>
        <v/>
      </c>
    </row>
    <row r="13">
      <c r="A13" t="n">
        <v>30</v>
      </c>
      <c r="B13" s="2" t="n">
        <v>5.5</v>
      </c>
      <c r="C13" s="2" t="n">
        <v>2</v>
      </c>
      <c r="D13">
        <f>Results!$B$7</f>
        <v/>
      </c>
      <c r="E13">
        <f>ROUND((B13-D13)*100,0)</f>
        <v/>
      </c>
      <c r="F13">
        <f>E13-Settings!$B$6*C13</f>
        <v/>
      </c>
      <c r="G13">
        <f>IF(F13&gt;=Settings!$B$8,"target",IF(F13&gt;=Settings!$B$7,"minimum","out"))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Rates move (parallel)</t>
        </is>
      </c>
      <c r="B1" s="1" t="inlineStr">
        <is>
          <t>Investor posts £</t>
        </is>
      </c>
      <c r="C1" s="1" t="inlineStr">
        <is>
          <t>% of notional</t>
        </is>
      </c>
      <c r="G1" t="inlineStr">
        <is>
          <t>Reference: 40y at 1.43%, semi-annual 2-15, £10m, live data 2026-09-22 (from the briefing). Not recomputed by the slim script.</t>
        </is>
      </c>
    </row>
    <row r="2">
      <c r="A2" t="inlineStr">
        <is>
          <t>+50 / +100 bp</t>
        </is>
      </c>
      <c r="B2" t="n">
        <v>0</v>
      </c>
      <c r="C2" t="n">
        <v>0</v>
      </c>
    </row>
    <row r="3">
      <c r="A3" t="inlineStr">
        <is>
          <t>-25 bp</t>
        </is>
      </c>
      <c r="B3" t="n">
        <v>160000</v>
      </c>
      <c r="C3" t="n">
        <v>1.6</v>
      </c>
    </row>
    <row r="4">
      <c r="A4" t="inlineStr">
        <is>
          <t>-50 bp</t>
        </is>
      </c>
      <c r="B4" t="n">
        <v>340000</v>
      </c>
      <c r="C4" t="n">
        <v>3.4</v>
      </c>
    </row>
    <row r="5">
      <c r="A5" t="inlineStr">
        <is>
          <t>-100 bp</t>
        </is>
      </c>
      <c r="B5" t="n">
        <v>750000</v>
      </c>
      <c r="C5" t="n">
        <v>7.5</v>
      </c>
    </row>
    <row r="6">
      <c r="A6" t="inlineStr">
        <is>
          <t>-150 bp</t>
        </is>
      </c>
      <c r="B6" t="n">
        <v>1260000</v>
      </c>
      <c r="C6" t="n">
        <v>12.6</v>
      </c>
    </row>
    <row r="7">
      <c r="A7" t="inlineStr">
        <is>
          <t>-200 bp</t>
        </is>
      </c>
      <c r="B7" t="n">
        <v>1890000</v>
      </c>
      <c r="C7" t="n">
        <v>18.9</v>
      </c>
    </row>
    <row r="8">
      <c r="A8" t="inlineStr">
        <is>
          <t>-300 bp</t>
        </is>
      </c>
      <c r="B8" t="n">
        <v>3650000</v>
      </c>
      <c r="C8" t="n">
        <v>36.5</v>
      </c>
    </row>
    <row r="11">
      <c r="A11" s="1" t="inlineStr">
        <is>
          <t>Year</t>
        </is>
      </c>
      <c r="B11" s="1" t="inlineStr">
        <is>
          <t>Swap still alive</t>
        </is>
      </c>
      <c r="C11" s="1" t="inlineStr">
        <is>
          <t>Average posting £</t>
        </is>
      </c>
      <c r="D11" s="1" t="inlineStr">
        <is>
          <t>95th percentile £</t>
        </is>
      </c>
      <c r="E11" s="1" t="inlineStr">
        <is>
          <t>99th percentile £</t>
        </is>
      </c>
    </row>
    <row r="12">
      <c r="A12" t="n">
        <v>2</v>
      </c>
      <c r="B12" t="inlineStr">
        <is>
          <t>100%</t>
        </is>
      </c>
      <c r="C12" t="n">
        <v>800000</v>
      </c>
      <c r="D12" t="n">
        <v>3900000</v>
      </c>
      <c r="E12" t="n">
        <v>7800000</v>
      </c>
    </row>
    <row r="13">
      <c r="A13" t="n">
        <v>3</v>
      </c>
      <c r="B13" t="inlineStr">
        <is>
          <t>41%</t>
        </is>
      </c>
      <c r="C13" t="n">
        <v>800000</v>
      </c>
      <c r="D13" t="n">
        <v>4300000</v>
      </c>
      <c r="E13" t="n">
        <v>9300000</v>
      </c>
    </row>
    <row r="14">
      <c r="A14" t="n">
        <v>5</v>
      </c>
      <c r="B14" t="inlineStr">
        <is>
          <t>27%</t>
        </is>
      </c>
      <c r="C14" t="n">
        <v>700000</v>
      </c>
      <c r="D14" t="n">
        <v>4200000</v>
      </c>
      <c r="E14" t="n">
        <v>10100000</v>
      </c>
    </row>
    <row r="15">
      <c r="A15" t="n">
        <v>7</v>
      </c>
      <c r="B15" t="inlineStr">
        <is>
          <t>19%</t>
        </is>
      </c>
      <c r="C15" t="n">
        <v>600000</v>
      </c>
      <c r="D15" t="n">
        <v>3700000</v>
      </c>
      <c r="E15" t="n">
        <v>10600000</v>
      </c>
    </row>
    <row r="16">
      <c r="A16" t="n">
        <v>10</v>
      </c>
      <c r="B16" t="inlineStr">
        <is>
          <t>13%</t>
        </is>
      </c>
      <c r="C16" t="n">
        <v>400000</v>
      </c>
      <c r="D16" t="n">
        <v>2300000</v>
      </c>
      <c r="E16" t="n">
        <v>9200000</v>
      </c>
    </row>
    <row r="17">
      <c r="A17" t="n">
        <v>15</v>
      </c>
      <c r="B17" t="inlineStr">
        <is>
          <t>5%</t>
        </is>
      </c>
      <c r="C17" t="n">
        <v>200000</v>
      </c>
      <c r="D17" t="n">
        <v>0</v>
      </c>
      <c r="E17" t="n">
        <v>5000000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2026-09-23T21:05:53Z</dcterms:created>
  <dcterms:modified xmlns:dcterms="http://purl.org/dc/terms/" xmlns:xsi="http://www.w3.org/2001/XMLSchema-instance" xsi:type="dcterms:W3CDTF">2026-09-23T21:05:53Z</dcterms:modified>
</cp:coreProperties>
</file>
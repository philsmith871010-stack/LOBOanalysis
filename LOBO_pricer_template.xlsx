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urve" sheetId="2" state="visible" r:id="rId2"/>
    <sheet xmlns:r="http://schemas.openxmlformats.org/officeDocument/2006/relationships" name="Vols" sheetId="3" state="visible" r:id="rId3"/>
    <sheet xmlns:r="http://schemas.openxmlformats.org/officeDocument/2006/relationships" name="Settings" sheetId="4" state="visible" r:id="rId4"/>
    <sheet xmlns:r="http://schemas.openxmlformats.org/officeDocument/2006/relationships" name="Structure" sheetId="5" state="visible" r:id="rId5"/>
    <sheet xmlns:r="http://schemas.openxmlformats.org/officeDocument/2006/relationships" name="Schedule" sheetId="6" state="visible" r:id="rId6"/>
    <sheet xmlns:r="http://schemas.openxmlformats.org/officeDocument/2006/relationships" name="Results" sheetId="7" state="visible" r:id="rId7"/>
    <sheet xmlns:r="http://schemas.openxmlformats.org/officeDocument/2006/relationships" name="Portfolio" sheetId="8" state="visible" r:id="rId8"/>
    <sheet xmlns:r="http://schemas.openxmlformats.org/officeDocument/2006/relationships" name="Collateral"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font>
    <font>
      <b val="1"/>
      <sz val="12"/>
    </font>
    <font>
      <sz val="11"/>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0"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40" customWidth="1" min="1" max="1"/>
  </cols>
  <sheetData>
    <row r="1">
      <c r="A1" s="1" t="inlineStr">
        <is>
          <t>How to use this sheet</t>
        </is>
      </c>
    </row>
    <row r="2">
      <c r="A2" s="2" t="inlineStr"/>
    </row>
    <row r="3">
      <c r="A3" s="2" t="inlineStr">
        <is>
          <t>1. Curve and Vols: paste the SONIA OIS rates and the swaption surface (normal vols by offset from ATM). Set the as-of date on Settings.</t>
        </is>
      </c>
    </row>
    <row r="4">
      <c r="A4" s="2" t="inlineStr">
        <is>
          <t>2. Structure: choose the swap term, the fixed rate we pay (or 'fair') and the coupon frequency. Type a preset (e.g. 'six dates') or tick dates yourself on Schedule.</t>
        </is>
      </c>
    </row>
    <row r="5">
      <c r="A5" s="2" t="inlineStr">
        <is>
          <t>3. Schedule: one row per coupon period. Tick 'Cancel here?' on the dates the bank may cancel. Turn the column into checkboxes once via Insert &gt; Checkbox.</t>
        </is>
      </c>
    </row>
    <row r="6">
      <c r="A6" s="2" t="inlineStr">
        <is>
          <t>4. Set Settings!Run to TRUE. The Mac script (price_sheet.py --watch) prices it and writes Results and the per-date columns on Schedule. Status shows when it finished.</t>
        </is>
      </c>
    </row>
    <row r="7">
      <c r="A7" s="2" t="inlineStr"/>
    </row>
    <row r="8">
      <c r="A8" s="1" t="inlineStr">
        <is>
          <t>Reading the results</t>
        </is>
      </c>
    </row>
    <row r="9">
      <c r="A9" s="2" t="inlineStr"/>
    </row>
    <row r="10">
      <c r="A10" s="2" t="inlineStr">
        <is>
          <t>Cancel right, value to bank: what the bank's option is worth on the model. Coupon discount: what paying our fixed rate instead of the par rate is worth to us over the full term. The difference is the bank's take.</t>
        </is>
      </c>
    </row>
    <row r="11">
      <c r="A11" s="2" t="inlineStr">
        <is>
          <t>Intrinsic: the forward swap value on the best single date - pure curve arithmetic, nobody argues with it. Best European: that date's option on its own. Bermudan time value: what the other ticked dates add. Multiple = cancel right / best European; ~1.10 is model-fair, 1.07 is a good print, 1.00 means the bank pays only for one date.</t>
        </is>
      </c>
    </row>
    <row r="12">
      <c r="A12" s="2" t="inlineStr">
        <is>
          <t>£ per 10 bp of rate: how much value moves when our fixed rate moves 10 bp. Small (~£44k on the 40y) because the option is deep in the money - which is why bank charges and the multiple matter so much in rate terms.</t>
        </is>
      </c>
    </row>
    <row r="13">
      <c r="A13" s="2" t="inlineStr"/>
    </row>
    <row r="14">
      <c r="A14" s="1" t="inlineStr">
        <is>
          <t>Things to try</t>
        </is>
      </c>
    </row>
    <row r="15">
      <c r="A15" s="2" t="inlineStr"/>
    </row>
    <row r="16">
      <c r="A16" s="2" t="inlineStr">
        <is>
          <t>Untick every date but one (or preset 'single 2y'): the multiple goes to 1.00 and the value drops to the European. Tick six dates: most of the value comes back. Tick everything to year 40 ('full strip'): little changes past year 15.</t>
        </is>
      </c>
    </row>
    <row r="17">
      <c r="A17" s="2" t="inlineStr">
        <is>
          <t>Change the fixed rate: the cancel right and the coupon discount move together; watch the bank's take. Set the rate to 'fair' to solve where they cross.</t>
        </is>
      </c>
    </row>
    <row r="18">
      <c r="A18" s="2" t="inlineStr">
        <is>
          <t>Change Mean reversion (1% - 5%): only the Bermudan time value moves. Shift every vol by +10 bp: same. That is the model-dependent slice; everything else is the curve.</t>
        </is>
      </c>
    </row>
    <row r="19">
      <c r="A19" s="2" t="inlineStr">
        <is>
          <t>On Schedule, read 'Strike - forward' and 'Intrinsic if cancelled here': they show, before pricing, how deep in the money the bank is on each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c r="A1" s="3" t="inlineStr">
        <is>
          <t>Tenor</t>
        </is>
      </c>
      <c r="B1" s="3" t="inlineStr">
        <is>
          <t>Rate %</t>
        </is>
      </c>
      <c r="D1" t="inlineStr">
        <is>
          <t>Paste the SONIA OIS par rates here (tenor like 10Y, rate in %). Rows can be added; keep the header.</t>
        </is>
      </c>
    </row>
    <row r="2">
      <c r="A2" t="inlineStr">
        <is>
          <t>1Y</t>
        </is>
      </c>
      <c r="B2" s="4" t="n">
        <v>4.431</v>
      </c>
    </row>
    <row r="3">
      <c r="A3" t="inlineStr">
        <is>
          <t>2Y</t>
        </is>
      </c>
      <c r="B3" s="4" t="n">
        <v>4.629</v>
      </c>
    </row>
    <row r="4">
      <c r="A4" t="inlineStr">
        <is>
          <t>3Y</t>
        </is>
      </c>
      <c r="B4" s="4" t="n">
        <v>4.652</v>
      </c>
    </row>
    <row r="5">
      <c r="A5" t="inlineStr">
        <is>
          <t>5Y</t>
        </is>
      </c>
      <c r="B5" s="4" t="n">
        <v>4.657</v>
      </c>
    </row>
    <row r="6">
      <c r="A6" t="inlineStr">
        <is>
          <t>7Y</t>
        </is>
      </c>
      <c r="B6" s="4" t="n">
        <v>4.698</v>
      </c>
    </row>
    <row r="7">
      <c r="A7" t="inlineStr">
        <is>
          <t>10Y</t>
        </is>
      </c>
      <c r="B7" s="4" t="n">
        <v>4.799</v>
      </c>
    </row>
    <row r="8">
      <c r="A8" t="inlineStr">
        <is>
          <t>15Y</t>
        </is>
      </c>
      <c r="B8" s="4" t="n">
        <v>4.958</v>
      </c>
    </row>
    <row r="9">
      <c r="A9" t="inlineStr">
        <is>
          <t>20Y</t>
        </is>
      </c>
      <c r="B9" s="4" t="n">
        <v>5.047</v>
      </c>
    </row>
    <row r="10">
      <c r="A10" t="inlineStr">
        <is>
          <t>30Y</t>
        </is>
      </c>
      <c r="B10" s="4" t="n">
        <v>5.055</v>
      </c>
    </row>
    <row r="11">
      <c r="A11" t="inlineStr">
        <is>
          <t>40Y</t>
        </is>
      </c>
      <c r="B11" s="4" t="n">
        <v>4.965</v>
      </c>
    </row>
    <row r="12">
      <c r="A12" t="inlineStr">
        <is>
          <t>50Y</t>
        </is>
      </c>
      <c r="B12" s="4" t="n">
        <v>4.851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3"/>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c r="A1" s="3" t="inlineStr">
        <is>
          <t>Expiry (y)</t>
        </is>
      </c>
      <c r="B1" s="3" t="inlineStr">
        <is>
          <t>Tenor (y)</t>
        </is>
      </c>
      <c r="C1" s="3" t="inlineStr">
        <is>
          <t>ATM strike %</t>
        </is>
      </c>
      <c r="D1" s="3" t="n">
        <v>-250</v>
      </c>
      <c r="E1" s="3" t="n">
        <v>-225</v>
      </c>
      <c r="F1" s="3" t="n">
        <v>-200</v>
      </c>
      <c r="G1" s="3" t="n">
        <v>-175</v>
      </c>
      <c r="H1" s="3" t="n">
        <v>-100</v>
      </c>
      <c r="I1" s="3" t="n">
        <v>-150</v>
      </c>
      <c r="J1" s="3" t="n">
        <v>-50</v>
      </c>
      <c r="K1" s="3" t="n">
        <v>-125</v>
      </c>
      <c r="L1" s="3" t="n">
        <v>0</v>
      </c>
      <c r="M1" s="3" t="n">
        <v>50</v>
      </c>
      <c r="N1" s="3" t="n">
        <v>-75</v>
      </c>
      <c r="O1" s="3" t="n">
        <v>100</v>
      </c>
      <c r="P1" s="3" t="n">
        <v>-25</v>
      </c>
      <c r="Q1" s="3" t="n">
        <v>25</v>
      </c>
      <c r="R1" s="3" t="n">
        <v>75</v>
      </c>
      <c r="S1" s="3" t="n">
        <v>125</v>
      </c>
      <c r="T1" s="3" t="n">
        <v>150</v>
      </c>
      <c r="U1" s="3" t="n">
        <v>175</v>
      </c>
      <c r="V1" s="3" t="n">
        <v>200</v>
      </c>
      <c r="W1" s="3" t="n">
        <v>225</v>
      </c>
      <c r="X1" s="3" t="n">
        <v>250</v>
      </c>
    </row>
    <row r="2">
      <c r="A2" t="n">
        <v>0.25</v>
      </c>
      <c r="B2" t="n">
        <v>2</v>
      </c>
      <c r="C2" t="n">
        <v>4.95001</v>
      </c>
      <c r="D2" s="4" t="n">
        <v>106.68</v>
      </c>
      <c r="E2" s="4" t="n">
        <v>103.75</v>
      </c>
      <c r="F2" s="4" t="n">
        <v>100.46</v>
      </c>
      <c r="G2" s="4" t="n">
        <v>96.79000000000001</v>
      </c>
      <c r="H2" s="4" t="n">
        <v>82.48999999999999</v>
      </c>
      <c r="I2" s="4" t="n">
        <v>92.7</v>
      </c>
      <c r="J2" s="4" t="n">
        <v>70.77</v>
      </c>
      <c r="K2" s="4" t="n">
        <v>88.08</v>
      </c>
      <c r="L2" s="4" t="n">
        <v>69.39</v>
      </c>
      <c r="M2" s="4" t="n">
        <v>80.23</v>
      </c>
      <c r="N2" s="4" t="n">
        <v>75.84</v>
      </c>
      <c r="O2" s="4" t="n">
        <v>98.53</v>
      </c>
      <c r="P2" s="4" t="n">
        <v>68.77</v>
      </c>
      <c r="Q2" s="4" t="n">
        <v>73.53</v>
      </c>
      <c r="R2" s="4" t="n">
        <v>88.61</v>
      </c>
      <c r="S2" s="4" t="n">
        <v>108.8</v>
      </c>
      <c r="T2" s="4" t="n">
        <v>118.26</v>
      </c>
      <c r="U2" s="4" t="n">
        <v>126.69</v>
      </c>
      <c r="V2" s="4" t="n">
        <v>134.33</v>
      </c>
      <c r="W2" s="4" t="n">
        <v>141.48</v>
      </c>
      <c r="X2" s="4" t="n">
        <v>148.33</v>
      </c>
    </row>
    <row r="3">
      <c r="A3" t="n">
        <v>0.25</v>
      </c>
      <c r="B3" t="n">
        <v>30</v>
      </c>
      <c r="C3" t="n">
        <v>5.2844</v>
      </c>
      <c r="D3" s="4" t="n">
        <v>160.59</v>
      </c>
      <c r="E3" s="4" t="n">
        <v>157.44</v>
      </c>
      <c r="F3" s="4" t="n">
        <v>153.1</v>
      </c>
      <c r="G3" s="4" t="n">
        <v>147.65</v>
      </c>
      <c r="H3" s="4" t="n">
        <v>133.84</v>
      </c>
      <c r="I3" s="4" t="n">
        <v>141.96</v>
      </c>
      <c r="J3" s="4" t="n">
        <v>130.18</v>
      </c>
      <c r="K3" s="4" t="n">
        <v>137.22</v>
      </c>
      <c r="L3" s="4" t="n">
        <v>130.52</v>
      </c>
      <c r="M3" s="4" t="n">
        <v>135.48</v>
      </c>
      <c r="N3" s="4" t="n">
        <v>131.57</v>
      </c>
      <c r="O3" s="4" t="n">
        <v>143.27</v>
      </c>
      <c r="P3" s="4" t="n">
        <v>129.72</v>
      </c>
      <c r="Q3" s="4" t="n">
        <v>132.61</v>
      </c>
      <c r="R3" s="4" t="n">
        <v>139.04</v>
      </c>
      <c r="S3" s="4" t="n">
        <v>148.25</v>
      </c>
      <c r="T3" s="4" t="n">
        <v>154.06</v>
      </c>
      <c r="U3" s="4" t="n">
        <v>160.76</v>
      </c>
      <c r="V3" s="4" t="n">
        <v>168.23</v>
      </c>
      <c r="W3" s="4" t="n">
        <v>176.1</v>
      </c>
      <c r="X3" s="4" t="n">
        <v>183.97</v>
      </c>
    </row>
    <row r="4">
      <c r="A4" t="n">
        <v>1</v>
      </c>
      <c r="B4" t="n">
        <v>1</v>
      </c>
      <c r="C4" t="n">
        <v>5.11573</v>
      </c>
      <c r="D4" s="4" t="n">
        <v>98.45</v>
      </c>
      <c r="E4" s="4" t="n">
        <v>95.98999999999999</v>
      </c>
      <c r="F4" s="4" t="n">
        <v>93.06</v>
      </c>
      <c r="G4" s="4" t="n">
        <v>89.67</v>
      </c>
      <c r="H4" s="4" t="n">
        <v>79.90000000000001</v>
      </c>
      <c r="I4" s="4" t="n">
        <v>86.01000000000001</v>
      </c>
      <c r="J4" s="4" t="n">
        <v>77.78</v>
      </c>
      <c r="K4" s="4" t="n">
        <v>82.55</v>
      </c>
      <c r="L4" s="4" t="n">
        <v>79.75</v>
      </c>
      <c r="M4" s="4" t="n">
        <v>87.18000000000001</v>
      </c>
      <c r="N4" s="4" t="n">
        <v>78.34</v>
      </c>
      <c r="O4" s="4" t="n">
        <v>98.09</v>
      </c>
      <c r="P4" s="4" t="n">
        <v>78.20999999999999</v>
      </c>
      <c r="Q4" s="4" t="n">
        <v>82.73999999999999</v>
      </c>
      <c r="R4" s="4" t="n">
        <v>92.41</v>
      </c>
      <c r="S4" s="4" t="n">
        <v>104.09</v>
      </c>
      <c r="T4" s="4" t="n">
        <v>110.4</v>
      </c>
      <c r="U4" s="4" t="n">
        <v>116.97</v>
      </c>
      <c r="V4" s="4" t="n">
        <v>123.74</v>
      </c>
      <c r="W4" s="4" t="n">
        <v>130.63</v>
      </c>
      <c r="X4" s="4" t="n">
        <v>137.54</v>
      </c>
    </row>
    <row r="5">
      <c r="A5" t="n">
        <v>1</v>
      </c>
      <c r="B5" t="n">
        <v>5</v>
      </c>
      <c r="C5" t="n">
        <v>4.95101</v>
      </c>
      <c r="D5" s="4" t="n">
        <v>114.85</v>
      </c>
      <c r="E5" s="4" t="n">
        <v>113.06</v>
      </c>
      <c r="F5" s="4" t="n">
        <v>111.55</v>
      </c>
      <c r="G5" s="4" t="n">
        <v>110.51</v>
      </c>
      <c r="H5" s="4" t="n">
        <v>111.5</v>
      </c>
      <c r="I5" s="4" t="n">
        <v>110.15</v>
      </c>
      <c r="J5" s="4" t="n">
        <v>115.05</v>
      </c>
      <c r="K5" s="4" t="n">
        <v>110.5</v>
      </c>
      <c r="L5" s="4" t="n">
        <v>120.3</v>
      </c>
      <c r="M5" s="4" t="n">
        <v>127.71</v>
      </c>
      <c r="N5" s="4" t="n">
        <v>113.04</v>
      </c>
      <c r="O5" s="4" t="n">
        <v>137.6</v>
      </c>
      <c r="P5" s="4" t="n">
        <v>117.48</v>
      </c>
      <c r="Q5" s="4" t="n">
        <v>123.6</v>
      </c>
      <c r="R5" s="4" t="n">
        <v>132.45</v>
      </c>
      <c r="S5" s="4" t="n">
        <v>143.04</v>
      </c>
      <c r="T5" s="4" t="n">
        <v>148.67</v>
      </c>
      <c r="U5" s="4" t="n">
        <v>154.47</v>
      </c>
      <c r="V5" s="4" t="n">
        <v>160.39</v>
      </c>
      <c r="W5" s="4" t="n">
        <v>166.44</v>
      </c>
      <c r="X5" s="4" t="n">
        <v>172.6</v>
      </c>
    </row>
    <row r="6">
      <c r="A6" t="n">
        <v>1</v>
      </c>
      <c r="B6" t="n">
        <v>10</v>
      </c>
      <c r="C6" t="n">
        <v>5.10334</v>
      </c>
      <c r="D6" s="4" t="n">
        <v>138.83</v>
      </c>
      <c r="E6" s="4" t="n">
        <v>136.68</v>
      </c>
      <c r="F6" s="4" t="n">
        <v>134.95</v>
      </c>
      <c r="G6" s="4" t="n">
        <v>133.64</v>
      </c>
      <c r="H6" s="4" t="n">
        <v>131.63</v>
      </c>
      <c r="I6" s="4" t="n">
        <v>132.69</v>
      </c>
      <c r="J6" s="4" t="n">
        <v>131.74</v>
      </c>
      <c r="K6" s="4" t="n">
        <v>132.03</v>
      </c>
      <c r="L6" s="4" t="n">
        <v>133.61</v>
      </c>
      <c r="M6" s="4" t="n">
        <v>137.53</v>
      </c>
      <c r="N6" s="4" t="n">
        <v>131.51</v>
      </c>
      <c r="O6" s="4" t="n">
        <v>142.49</v>
      </c>
      <c r="P6" s="4" t="n">
        <v>132.4</v>
      </c>
      <c r="Q6" s="4" t="n">
        <v>135.41</v>
      </c>
      <c r="R6" s="4" t="n">
        <v>139.9</v>
      </c>
      <c r="S6" s="4" t="n">
        <v>145.29</v>
      </c>
      <c r="T6" s="4" t="n">
        <v>148.28</v>
      </c>
      <c r="U6" s="4" t="n">
        <v>151.46</v>
      </c>
      <c r="V6" s="4" t="n">
        <v>154.83</v>
      </c>
      <c r="W6" s="4" t="n">
        <v>158.38</v>
      </c>
      <c r="X6" s="4" t="n">
        <v>162.13</v>
      </c>
    </row>
    <row r="7">
      <c r="A7" t="n">
        <v>1</v>
      </c>
      <c r="B7" t="n">
        <v>30</v>
      </c>
      <c r="C7" t="n">
        <v>5.30174</v>
      </c>
      <c r="D7" s="4" t="n">
        <v>150.36</v>
      </c>
      <c r="E7" s="4" t="n">
        <v>148.33</v>
      </c>
      <c r="F7" s="4" t="n">
        <v>146.43</v>
      </c>
      <c r="G7" s="4" t="n">
        <v>144.68</v>
      </c>
      <c r="H7" s="4" t="n">
        <v>140.48</v>
      </c>
      <c r="I7" s="4" t="n">
        <v>143.11</v>
      </c>
      <c r="J7" s="4" t="n">
        <v>138.82</v>
      </c>
      <c r="K7" s="4" t="n">
        <v>141.71</v>
      </c>
      <c r="L7" s="4" t="n">
        <v>139.09</v>
      </c>
      <c r="M7" s="4" t="n">
        <v>141.66</v>
      </c>
      <c r="N7" s="4" t="n">
        <v>139.49</v>
      </c>
      <c r="O7" s="4" t="n">
        <v>144.82</v>
      </c>
      <c r="P7" s="4" t="n">
        <v>138.63</v>
      </c>
      <c r="Q7" s="4" t="n">
        <v>140.27</v>
      </c>
      <c r="R7" s="4" t="n">
        <v>143.18</v>
      </c>
      <c r="S7" s="4" t="n">
        <v>146.62</v>
      </c>
      <c r="T7" s="4" t="n">
        <v>148.59</v>
      </c>
      <c r="U7" s="4" t="n">
        <v>150.74</v>
      </c>
      <c r="V7" s="4" t="n">
        <v>153.11</v>
      </c>
      <c r="W7" s="4" t="n">
        <v>155.69</v>
      </c>
      <c r="X7" s="4" t="n">
        <v>158.5</v>
      </c>
    </row>
    <row r="8">
      <c r="A8" t="n">
        <v>5</v>
      </c>
      <c r="B8" t="n">
        <v>5</v>
      </c>
      <c r="C8" t="n">
        <v>5.1942</v>
      </c>
      <c r="D8" s="4" t="n">
        <v>125.71</v>
      </c>
      <c r="E8" s="4" t="n">
        <v>126.02</v>
      </c>
      <c r="F8" s="4" t="n">
        <v>126.38</v>
      </c>
      <c r="G8" s="4" t="n">
        <v>126.79</v>
      </c>
      <c r="H8" s="4" t="n">
        <v>128.36</v>
      </c>
      <c r="I8" s="4" t="n">
        <v>127.25</v>
      </c>
      <c r="J8" s="4" t="n">
        <v>129.88</v>
      </c>
      <c r="K8" s="4" t="n">
        <v>127.76</v>
      </c>
      <c r="L8" s="4" t="n">
        <v>131.97</v>
      </c>
      <c r="M8" s="4" t="n">
        <v>134.73</v>
      </c>
      <c r="N8" s="4" t="n">
        <v>129.06</v>
      </c>
      <c r="O8" s="4" t="n">
        <v>138.07</v>
      </c>
      <c r="P8" s="4" t="n">
        <v>130.85</v>
      </c>
      <c r="Q8" s="4" t="n">
        <v>133.26</v>
      </c>
      <c r="R8" s="4" t="n">
        <v>136.37</v>
      </c>
      <c r="S8" s="4" t="n">
        <v>139.8</v>
      </c>
      <c r="T8" s="4" t="n">
        <v>141.58</v>
      </c>
      <c r="U8" s="4" t="n">
        <v>143.4</v>
      </c>
      <c r="V8" s="4" t="n">
        <v>145.28</v>
      </c>
      <c r="W8" s="4" t="n">
        <v>147.21</v>
      </c>
      <c r="X8" s="4" t="n">
        <v>149.2</v>
      </c>
    </row>
    <row r="9">
      <c r="A9" t="n">
        <v>5</v>
      </c>
      <c r="B9" t="n">
        <v>10</v>
      </c>
      <c r="C9" t="n">
        <v>5.38246</v>
      </c>
      <c r="D9" s="4" t="n">
        <v>127.55</v>
      </c>
      <c r="E9" s="4" t="n">
        <v>127.5</v>
      </c>
      <c r="F9" s="4" t="n">
        <v>127.44</v>
      </c>
      <c r="G9" s="4" t="n">
        <v>127.37</v>
      </c>
      <c r="H9" s="4" t="n">
        <v>127.35</v>
      </c>
      <c r="I9" s="4" t="n">
        <v>127.33</v>
      </c>
      <c r="J9" s="4" t="n">
        <v>127.69</v>
      </c>
      <c r="K9" s="4" t="n">
        <v>127.31</v>
      </c>
      <c r="L9" s="4" t="n">
        <v>128.59</v>
      </c>
      <c r="M9" s="4" t="n">
        <v>130.28</v>
      </c>
      <c r="N9" s="4" t="n">
        <v>127.46</v>
      </c>
      <c r="O9" s="4" t="n">
        <v>132.49</v>
      </c>
      <c r="P9" s="4" t="n">
        <v>128.05</v>
      </c>
      <c r="Q9" s="4" t="n">
        <v>129.33</v>
      </c>
      <c r="R9" s="4" t="n">
        <v>131.39</v>
      </c>
      <c r="S9" s="4" t="n">
        <v>133.57</v>
      </c>
      <c r="T9" s="4" t="n">
        <v>134.64</v>
      </c>
      <c r="U9" s="4" t="n">
        <v>135.72</v>
      </c>
      <c r="V9" s="4" t="n">
        <v>136.81</v>
      </c>
      <c r="W9" s="4" t="n">
        <v>137.93</v>
      </c>
      <c r="X9" s="4" t="n">
        <v>139.09</v>
      </c>
    </row>
    <row r="10">
      <c r="A10" t="n">
        <v>10</v>
      </c>
      <c r="B10" t="n">
        <v>10</v>
      </c>
      <c r="C10" t="n">
        <v>5.66253</v>
      </c>
      <c r="D10" s="4" t="n">
        <v>126.55</v>
      </c>
      <c r="E10" s="4" t="n">
        <v>126.65</v>
      </c>
      <c r="F10" s="4" t="n">
        <v>126.72</v>
      </c>
      <c r="G10" s="4" t="n">
        <v>126.77</v>
      </c>
      <c r="H10" s="4" t="n">
        <v>126.81</v>
      </c>
      <c r="I10" s="4" t="n">
        <v>126.79</v>
      </c>
      <c r="J10" s="4" t="n">
        <v>126.88</v>
      </c>
      <c r="K10" s="4" t="n">
        <v>126.8</v>
      </c>
      <c r="L10" s="4" t="n">
        <v>127.13</v>
      </c>
      <c r="M10" s="4" t="n">
        <v>127.69</v>
      </c>
      <c r="N10" s="4" t="n">
        <v>126.83</v>
      </c>
      <c r="O10" s="4" t="n">
        <v>128.68</v>
      </c>
      <c r="P10" s="4" t="n">
        <v>126.97</v>
      </c>
      <c r="Q10" s="4" t="n">
        <v>127.36</v>
      </c>
      <c r="R10" s="4" t="n">
        <v>128.12</v>
      </c>
      <c r="S10" s="4" t="n">
        <v>129.32</v>
      </c>
      <c r="T10" s="4" t="n">
        <v>129.99</v>
      </c>
      <c r="U10" s="4" t="n">
        <v>130.69</v>
      </c>
      <c r="V10" s="4" t="n">
        <v>131.42</v>
      </c>
      <c r="W10" s="4" t="n">
        <v>132.2</v>
      </c>
      <c r="X10" s="4" t="n">
        <v>133.03</v>
      </c>
    </row>
    <row r="11">
      <c r="A11" t="n">
        <v>10</v>
      </c>
      <c r="B11" t="n">
        <v>30</v>
      </c>
      <c r="C11" t="n">
        <v>5.31779</v>
      </c>
      <c r="D11" s="4" t="n">
        <v>120.67</v>
      </c>
      <c r="E11" s="4" t="n">
        <v>120.77</v>
      </c>
      <c r="F11" s="4" t="n">
        <v>120.84</v>
      </c>
      <c r="G11" s="4" t="n">
        <v>120.88</v>
      </c>
      <c r="H11" s="4" t="n">
        <v>120.88</v>
      </c>
      <c r="I11" s="4" t="n">
        <v>120.89</v>
      </c>
      <c r="J11" s="4" t="n">
        <v>120.92</v>
      </c>
      <c r="K11" s="4" t="n">
        <v>120.89</v>
      </c>
      <c r="L11" s="4" t="n">
        <v>121.14</v>
      </c>
      <c r="M11" s="4" t="n">
        <v>121.7</v>
      </c>
      <c r="N11" s="4" t="n">
        <v>120.89</v>
      </c>
      <c r="O11" s="4" t="n">
        <v>122.71</v>
      </c>
      <c r="P11" s="4" t="n">
        <v>121</v>
      </c>
      <c r="Q11" s="4" t="n">
        <v>121.37</v>
      </c>
      <c r="R11" s="4" t="n">
        <v>122.14</v>
      </c>
      <c r="S11" s="4" t="n">
        <v>123.36</v>
      </c>
      <c r="T11" s="4" t="n">
        <v>124.06</v>
      </c>
      <c r="U11" s="4" t="n">
        <v>124.75</v>
      </c>
      <c r="V11" s="4" t="n">
        <v>125.5</v>
      </c>
      <c r="W11" s="4" t="n">
        <v>126.31</v>
      </c>
      <c r="X11" s="4" t="n">
        <v>127.18</v>
      </c>
    </row>
    <row r="13">
      <c r="A13" t="inlineStr">
        <is>
          <t>Normal vols in bp by offset from ATM (header row = offset in bp; any column order). Paste the screen grid row by row.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c r="A1" s="5" t="inlineStr">
        <is>
          <t>As-of date</t>
        </is>
      </c>
      <c r="B1" s="4" t="inlineStr">
        <is>
          <t>2026-09-22</t>
        </is>
      </c>
    </row>
    <row r="2">
      <c r="A2" s="5" t="inlineStr">
        <is>
          <t>Notional</t>
        </is>
      </c>
      <c r="B2" s="4" t="n">
        <v>10000000</v>
      </c>
    </row>
    <row r="3">
      <c r="A3" s="5" t="inlineStr">
        <is>
          <t>Mean reversion</t>
        </is>
      </c>
      <c r="B3" s="4" t="n">
        <v>0.03</v>
      </c>
    </row>
    <row r="4">
      <c r="A4" s="5" t="inlineStr">
        <is>
          <t>Bank take, collateral £</t>
        </is>
      </c>
      <c r="B4" s="4" t="n">
        <v>150000</v>
      </c>
    </row>
    <row r="5">
      <c r="A5" s="5" t="inlineStr">
        <is>
          <t>Bank take, no collateral £</t>
        </is>
      </c>
      <c r="B5" s="4" t="n">
        <v>350000</v>
      </c>
    </row>
    <row r="6">
      <c r="A6" s="5" t="inlineStr">
        <is>
          <t>bp of spread per premium point</t>
        </is>
      </c>
      <c r="B6" s="4" t="n">
        <v>23</v>
      </c>
    </row>
    <row r="7">
      <c r="A7" s="5" t="inlineStr">
        <is>
          <t>Investor minimum spread bp</t>
        </is>
      </c>
      <c r="B7" s="4" t="n">
        <v>250</v>
      </c>
    </row>
    <row r="8">
      <c r="A8" s="5" t="inlineStr">
        <is>
          <t>Investor target spread bp</t>
        </is>
      </c>
      <c r="B8" s="4" t="n">
        <v>300</v>
      </c>
    </row>
    <row r="9">
      <c r="A9" s="5" t="inlineStr">
        <is>
          <t>Run</t>
        </is>
      </c>
      <c r="B9" s="4" t="inlineStr">
        <is>
          <t>FALSE</t>
        </is>
      </c>
    </row>
    <row r="10">
      <c r="A10" s="5" t="inlineStr">
        <is>
          <t>Status</t>
        </is>
      </c>
      <c r="B10" t="inlineStr"/>
    </row>
    <row r="11">
      <c r="A11" s="5" t="inlineStr"/>
      <c r="B11" t="inlineStr"/>
    </row>
    <row r="12">
      <c r="A12" s="5" t="inlineStr">
        <is>
          <t>Notes</t>
        </is>
      </c>
      <c r="B12" t="inlineStr">
        <is>
          <t>Set Run to TRUE to price (when price_sheet.py --watch is running on the Mac). Status shows the last run.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c r="A1" s="5" t="inlineStr">
        <is>
          <t>Term (years)</t>
        </is>
      </c>
      <c r="B1" s="4" t="n">
        <v>40</v>
      </c>
    </row>
    <row r="2">
      <c r="A2" s="5" t="inlineStr">
        <is>
          <t>Fixed rate %</t>
        </is>
      </c>
      <c r="B2" s="4" t="n">
        <v>1.43</v>
      </c>
    </row>
    <row r="3">
      <c r="A3" s="5" t="inlineStr">
        <is>
          <t>Frequency (months)</t>
        </is>
      </c>
      <c r="B3" s="4" t="n">
        <v>6</v>
      </c>
    </row>
    <row r="4">
      <c r="A4" s="5" t="inlineStr">
        <is>
          <t>Preset</t>
        </is>
      </c>
      <c r="B4" s="4" t="inlineStr"/>
    </row>
    <row r="5">
      <c r="A5" s="5" t="inlineStr"/>
      <c r="B5" t="inlineStr"/>
    </row>
    <row r="6">
      <c r="A6" s="5" t="inlineStr">
        <is>
          <t>Notes</t>
        </is>
      </c>
      <c r="B6" t="inlineStr">
        <is>
          <t>Fixed rate: a number, or 'fair' to solve the model-fair rate and the dealt rates at the two take levels. The call schedule is whatever is ticked on the Schedule tab. Preset fills the ticks on the next run (semi-annual 2-15, annual 2-15, annual 3-10, six dates, single 2y, full strip, none) and is then cleared.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81"/>
  <sheetViews>
    <sheetView workbookViewId="0">
      <selection activeCell="A1" sqref="A1"/>
    </sheetView>
  </sheetViews>
  <sheetFormatPr baseColWidth="8" defaultRowHeight="15"/>
  <cols>
    <col width="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3" t="inlineStr">
        <is>
          <t>#</t>
        </is>
      </c>
      <c r="B1" s="3" t="inlineStr">
        <is>
          <t>Start</t>
        </is>
      </c>
      <c r="C1" s="3" t="inlineStr">
        <is>
          <t>End</t>
        </is>
      </c>
      <c r="D1" s="3" t="inlineStr">
        <is>
          <t>Pay date</t>
        </is>
      </c>
      <c r="E1" s="3" t="inlineStr">
        <is>
          <t>Accrual (y)</t>
        </is>
      </c>
      <c r="F1" s="3" t="inlineStr">
        <is>
          <t>Fixed cashflow £</t>
        </is>
      </c>
      <c r="G1" s="3" t="inlineStr">
        <is>
          <t>Projected SONIA cashflow £</t>
        </is>
      </c>
      <c r="H1" s="3" t="inlineStr">
        <is>
          <t>Net cashflow £</t>
        </is>
      </c>
      <c r="I1" s="3" t="inlineStr">
        <is>
          <t>Discount factor</t>
        </is>
      </c>
      <c r="J1" s="3" t="inlineStr">
        <is>
          <t>PV of net £</t>
        </is>
      </c>
      <c r="K1" s="3" t="inlineStr">
        <is>
          <t>Cancel here?</t>
        </is>
      </c>
      <c r="L1" s="3" t="inlineStr">
        <is>
          <t>Exercise date</t>
        </is>
      </c>
      <c r="M1" s="3" t="inlineStr">
        <is>
          <t>Forward swap rate from here %</t>
        </is>
      </c>
      <c r="N1" s="3" t="inlineStr">
        <is>
          <t>Strike - forward (bp)</t>
        </is>
      </c>
      <c r="O1" s="3" t="inlineStr">
        <is>
          <t>Remaining annuity £ per 1%</t>
        </is>
      </c>
      <c r="P1" s="3" t="inlineStr">
        <is>
          <t>Intrinsic if cancelled here £</t>
        </is>
      </c>
      <c r="Q1" s="3" t="inlineStr">
        <is>
          <t>European value at this date £</t>
        </is>
      </c>
      <c r="R1" s="3" t="inlineStr">
        <is>
          <t>Normal vol at strike (bp)</t>
        </is>
      </c>
      <c r="Z1" t="inlineStr">
        <is>
          <t>40|6</t>
        </is>
      </c>
    </row>
    <row r="2">
      <c r="A2" t="n">
        <v>0</v>
      </c>
      <c r="B2" t="inlineStr">
        <is>
          <t>2026-09-22</t>
        </is>
      </c>
      <c r="C2" t="inlineStr">
        <is>
          <t>2027-03-22</t>
        </is>
      </c>
      <c r="D2" t="inlineStr">
        <is>
          <t>2027-03-22</t>
        </is>
      </c>
      <c r="E2" t="n">
        <v>0.4959</v>
      </c>
      <c r="F2" t="n">
        <v>-70912</v>
      </c>
      <c r="G2" t="n">
        <v>217328</v>
      </c>
      <c r="H2" t="n">
        <v>146416</v>
      </c>
      <c r="I2" t="n">
        <v>0.978729</v>
      </c>
      <c r="J2" t="n">
        <v>143301</v>
      </c>
      <c r="K2" s="4" t="b">
        <v>0</v>
      </c>
      <c r="L2" t="inlineStr"/>
      <c r="M2" t="n">
        <v>4.9048</v>
      </c>
      <c r="N2" t="n">
        <v>-347.5</v>
      </c>
      <c r="O2" t="inlineStr"/>
      <c r="P2" t="n">
        <v>0</v>
      </c>
      <c r="Q2" t="inlineStr"/>
      <c r="R2" t="inlineStr"/>
    </row>
    <row r="3">
      <c r="A3" t="n">
        <v>1</v>
      </c>
      <c r="B3" t="inlineStr">
        <is>
          <t>2027-03-22</t>
        </is>
      </c>
      <c r="C3" t="inlineStr">
        <is>
          <t>2027-09-22</t>
        </is>
      </c>
      <c r="D3" t="inlineStr">
        <is>
          <t>2027-09-22</t>
        </is>
      </c>
      <c r="E3" t="n">
        <v>0.5041</v>
      </c>
      <c r="F3" t="n">
        <v>-72088</v>
      </c>
      <c r="G3" t="n">
        <v>220970</v>
      </c>
      <c r="H3" t="n">
        <v>148882</v>
      </c>
      <c r="I3" t="n">
        <v>0.95757</v>
      </c>
      <c r="J3" t="n">
        <v>142565</v>
      </c>
      <c r="K3" s="4" t="b">
        <v>0</v>
      </c>
      <c r="L3" t="inlineStr">
        <is>
          <t>2027-03-18</t>
        </is>
      </c>
      <c r="M3" t="n">
        <v>4.9198</v>
      </c>
      <c r="N3" t="n">
        <v>-349</v>
      </c>
      <c r="O3" t="n">
        <v>1688859</v>
      </c>
      <c r="P3" t="n">
        <v>5893818</v>
      </c>
      <c r="Q3" t="inlineStr"/>
      <c r="R3" t="inlineStr"/>
    </row>
    <row r="4">
      <c r="A4" t="n">
        <v>2</v>
      </c>
      <c r="B4" t="inlineStr">
        <is>
          <t>2027-09-22</t>
        </is>
      </c>
      <c r="C4" t="inlineStr">
        <is>
          <t>2028-03-22</t>
        </is>
      </c>
      <c r="D4" t="inlineStr">
        <is>
          <t>2028-03-22</t>
        </is>
      </c>
      <c r="E4" t="n">
        <v>0.4986</v>
      </c>
      <c r="F4" t="n">
        <v>-71304</v>
      </c>
      <c r="G4" t="n">
        <v>238269</v>
      </c>
      <c r="H4" t="n">
        <v>166965</v>
      </c>
      <c r="I4" t="n">
        <v>0.935285</v>
      </c>
      <c r="J4" t="n">
        <v>156160</v>
      </c>
      <c r="K4" s="4" t="b">
        <v>0</v>
      </c>
      <c r="L4" t="inlineStr">
        <is>
          <t>2027-09-20</t>
        </is>
      </c>
      <c r="M4" t="n">
        <v>4.9356</v>
      </c>
      <c r="N4" t="n">
        <v>-350.6</v>
      </c>
      <c r="O4" t="n">
        <v>1640587</v>
      </c>
      <c r="P4" t="n">
        <v>5751253</v>
      </c>
      <c r="Q4" t="inlineStr"/>
      <c r="R4" t="inlineStr"/>
    </row>
    <row r="5">
      <c r="A5" t="n">
        <v>3</v>
      </c>
      <c r="B5" t="inlineStr">
        <is>
          <t>2028-03-22</t>
        </is>
      </c>
      <c r="C5" t="inlineStr">
        <is>
          <t>2028-09-22</t>
        </is>
      </c>
      <c r="D5" t="inlineStr">
        <is>
          <t>2028-09-22</t>
        </is>
      </c>
      <c r="E5" t="n">
        <v>0.5041</v>
      </c>
      <c r="F5" t="n">
        <v>-72088</v>
      </c>
      <c r="G5" t="n">
        <v>240919</v>
      </c>
      <c r="H5" t="n">
        <v>168831</v>
      </c>
      <c r="I5" t="n">
        <v>0.913282</v>
      </c>
      <c r="J5" t="n">
        <v>154191</v>
      </c>
      <c r="K5" s="4" t="b">
        <v>0</v>
      </c>
      <c r="L5" t="inlineStr">
        <is>
          <t>2028-03-20</t>
        </is>
      </c>
      <c r="M5" t="n">
        <v>4.9402</v>
      </c>
      <c r="N5" t="n">
        <v>-351</v>
      </c>
      <c r="O5" t="n">
        <v>1593951</v>
      </c>
      <c r="P5" t="n">
        <v>5595093</v>
      </c>
      <c r="Q5" t="inlineStr"/>
      <c r="R5" t="inlineStr"/>
    </row>
    <row r="6">
      <c r="A6" t="n">
        <v>4</v>
      </c>
      <c r="B6" t="inlineStr">
        <is>
          <t>2028-09-22</t>
        </is>
      </c>
      <c r="C6" t="inlineStr">
        <is>
          <t>2029-03-22</t>
        </is>
      </c>
      <c r="D6" t="inlineStr">
        <is>
          <t>2029-03-22</t>
        </is>
      </c>
      <c r="E6" t="n">
        <v>0.4959</v>
      </c>
      <c r="F6" t="n">
        <v>-70912</v>
      </c>
      <c r="G6" t="n">
        <v>230397</v>
      </c>
      <c r="H6" t="n">
        <v>159485</v>
      </c>
      <c r="I6" t="n">
        <v>0.892715</v>
      </c>
      <c r="J6" t="n">
        <v>142374</v>
      </c>
      <c r="K6" s="4" t="b">
        <v>1</v>
      </c>
      <c r="L6" t="inlineStr">
        <is>
          <t>2028-09-20</t>
        </is>
      </c>
      <c r="M6" t="n">
        <v>4.945</v>
      </c>
      <c r="N6" t="n">
        <v>-351.5</v>
      </c>
      <c r="O6" t="n">
        <v>1547911</v>
      </c>
      <c r="P6" t="n">
        <v>5440902</v>
      </c>
      <c r="Q6" t="inlineStr"/>
      <c r="R6" t="inlineStr"/>
    </row>
    <row r="7">
      <c r="A7" t="n">
        <v>5</v>
      </c>
      <c r="B7" t="inlineStr">
        <is>
          <t>2029-03-22</t>
        </is>
      </c>
      <c r="C7" t="inlineStr">
        <is>
          <t>2029-09-24</t>
        </is>
      </c>
      <c r="D7" t="inlineStr">
        <is>
          <t>2029-09-24</t>
        </is>
      </c>
      <c r="E7" t="n">
        <v>0.5096000000000001</v>
      </c>
      <c r="F7" t="n">
        <v>-72871</v>
      </c>
      <c r="G7" t="n">
        <v>236836</v>
      </c>
      <c r="H7" t="n">
        <v>163965</v>
      </c>
      <c r="I7" t="n">
        <v>0.872061</v>
      </c>
      <c r="J7" t="n">
        <v>142988</v>
      </c>
      <c r="K7" s="4" t="b">
        <v>1</v>
      </c>
      <c r="L7" t="inlineStr">
        <is>
          <t>2029-03-20</t>
        </is>
      </c>
      <c r="M7" t="n">
        <v>4.9538</v>
      </c>
      <c r="N7" t="n">
        <v>-352.4</v>
      </c>
      <c r="O7" t="n">
        <v>1503643</v>
      </c>
      <c r="P7" t="n">
        <v>5298528</v>
      </c>
      <c r="Q7" t="inlineStr"/>
      <c r="R7" t="inlineStr"/>
    </row>
    <row r="8">
      <c r="A8" t="n">
        <v>6</v>
      </c>
      <c r="B8" t="inlineStr">
        <is>
          <t>2029-09-24</t>
        </is>
      </c>
      <c r="C8" t="inlineStr">
        <is>
          <t>2030-03-22</t>
        </is>
      </c>
      <c r="D8" t="inlineStr">
        <is>
          <t>2030-03-22</t>
        </is>
      </c>
      <c r="E8" t="n">
        <v>0.4904</v>
      </c>
      <c r="F8" t="n">
        <v>-70129</v>
      </c>
      <c r="G8" t="n">
        <v>226156</v>
      </c>
      <c r="H8" t="n">
        <v>156027</v>
      </c>
      <c r="I8" t="n">
        <v>0.8527749999999999</v>
      </c>
      <c r="J8" t="n">
        <v>133056</v>
      </c>
      <c r="K8" s="4" t="b">
        <v>1</v>
      </c>
      <c r="L8" t="inlineStr">
        <is>
          <t>2029-09-20</t>
        </is>
      </c>
      <c r="M8" t="n">
        <v>4.963</v>
      </c>
      <c r="N8" t="n">
        <v>-353.3</v>
      </c>
      <c r="O8" t="n">
        <v>1459278</v>
      </c>
      <c r="P8" t="n">
        <v>5155695</v>
      </c>
      <c r="Q8" t="inlineStr"/>
      <c r="R8" t="inlineStr"/>
    </row>
    <row r="9">
      <c r="A9" t="n">
        <v>7</v>
      </c>
      <c r="B9" t="inlineStr">
        <is>
          <t>2030-03-22</t>
        </is>
      </c>
      <c r="C9" t="inlineStr">
        <is>
          <t>2030-09-23</t>
        </is>
      </c>
      <c r="D9" t="inlineStr">
        <is>
          <t>2030-09-23</t>
        </is>
      </c>
      <c r="E9" t="n">
        <v>0.5068</v>
      </c>
      <c r="F9" t="n">
        <v>-72479</v>
      </c>
      <c r="G9" t="n">
        <v>233824</v>
      </c>
      <c r="H9" t="n">
        <v>161345</v>
      </c>
      <c r="I9" t="n">
        <v>0.833291</v>
      </c>
      <c r="J9" t="n">
        <v>134447</v>
      </c>
      <c r="K9" s="4" t="b">
        <v>1</v>
      </c>
      <c r="L9" t="inlineStr">
        <is>
          <t>2030-03-20</t>
        </is>
      </c>
      <c r="M9" t="n">
        <v>4.9735</v>
      </c>
      <c r="N9" t="n">
        <v>-354.3</v>
      </c>
      <c r="O9" t="n">
        <v>1417382</v>
      </c>
      <c r="P9" t="n">
        <v>5022485</v>
      </c>
      <c r="Q9" t="inlineStr"/>
      <c r="R9" t="inlineStr"/>
    </row>
    <row r="10">
      <c r="A10" t="n">
        <v>8</v>
      </c>
      <c r="B10" t="inlineStr">
        <is>
          <t>2030-09-23</t>
        </is>
      </c>
      <c r="C10" t="inlineStr">
        <is>
          <t>2031-03-24</t>
        </is>
      </c>
      <c r="D10" t="inlineStr">
        <is>
          <t>2031-03-24</t>
        </is>
      </c>
      <c r="E10" t="n">
        <v>0.4986</v>
      </c>
      <c r="F10" t="n">
        <v>-71304</v>
      </c>
      <c r="G10" t="n">
        <v>229989</v>
      </c>
      <c r="H10" t="n">
        <v>158685</v>
      </c>
      <c r="I10" t="n">
        <v>0.814557</v>
      </c>
      <c r="J10" t="n">
        <v>129258</v>
      </c>
      <c r="K10" s="4" t="b">
        <v>1</v>
      </c>
      <c r="L10" t="inlineStr">
        <is>
          <t>2030-09-19</t>
        </is>
      </c>
      <c r="M10" t="n">
        <v>4.9845</v>
      </c>
      <c r="N10" t="n">
        <v>-355.5</v>
      </c>
      <c r="O10" t="n">
        <v>1375185</v>
      </c>
      <c r="P10" t="n">
        <v>4888114</v>
      </c>
      <c r="Q10" t="inlineStr"/>
      <c r="R10" t="inlineStr"/>
    </row>
    <row r="11">
      <c r="A11" t="n">
        <v>9</v>
      </c>
      <c r="B11" t="inlineStr">
        <is>
          <t>2031-03-24</t>
        </is>
      </c>
      <c r="C11" t="inlineStr">
        <is>
          <t>2031-09-22</t>
        </is>
      </c>
      <c r="D11" t="inlineStr">
        <is>
          <t>2031-09-22</t>
        </is>
      </c>
      <c r="E11" t="n">
        <v>0.4986</v>
      </c>
      <c r="F11" t="n">
        <v>-71304</v>
      </c>
      <c r="G11" t="n">
        <v>229989</v>
      </c>
      <c r="H11" t="n">
        <v>158685</v>
      </c>
      <c r="I11" t="n">
        <v>0.796244</v>
      </c>
      <c r="J11" t="n">
        <v>126352</v>
      </c>
      <c r="K11" s="4" t="b">
        <v>1</v>
      </c>
      <c r="L11" t="inlineStr">
        <is>
          <t>2031-03-20</t>
        </is>
      </c>
      <c r="M11" t="n">
        <v>4.9958</v>
      </c>
      <c r="N11" t="n">
        <v>-356.6</v>
      </c>
      <c r="O11" t="n">
        <v>1334606</v>
      </c>
      <c r="P11" t="n">
        <v>4758934</v>
      </c>
      <c r="Q11" t="inlineStr"/>
      <c r="R11" t="inlineStr"/>
    </row>
    <row r="12">
      <c r="A12" t="n">
        <v>10</v>
      </c>
      <c r="B12" t="inlineStr">
        <is>
          <t>2031-09-22</t>
        </is>
      </c>
      <c r="C12" t="inlineStr">
        <is>
          <t>2032-03-22</t>
        </is>
      </c>
      <c r="D12" t="inlineStr">
        <is>
          <t>2032-03-22</t>
        </is>
      </c>
      <c r="E12" t="n">
        <v>0.4986</v>
      </c>
      <c r="F12" t="n">
        <v>-71304</v>
      </c>
      <c r="G12" t="n">
        <v>237432</v>
      </c>
      <c r="H12" t="n">
        <v>166128</v>
      </c>
      <c r="I12" t="n">
        <v>0.7777770000000001</v>
      </c>
      <c r="J12" t="n">
        <v>129211</v>
      </c>
      <c r="K12" s="4" t="b">
        <v>1</v>
      </c>
      <c r="L12" t="inlineStr">
        <is>
          <t>2031-09-18</t>
        </is>
      </c>
      <c r="M12" t="n">
        <v>5.0076</v>
      </c>
      <c r="N12" t="n">
        <v>-357.8</v>
      </c>
      <c r="O12" t="n">
        <v>1294828</v>
      </c>
      <c r="P12" t="n">
        <v>4632427</v>
      </c>
      <c r="Q12" t="inlineStr"/>
      <c r="R12" t="inlineStr"/>
    </row>
    <row r="13">
      <c r="A13" t="n">
        <v>11</v>
      </c>
      <c r="B13" t="inlineStr">
        <is>
          <t>2032-03-22</t>
        </is>
      </c>
      <c r="C13" t="inlineStr">
        <is>
          <t>2032-09-22</t>
        </is>
      </c>
      <c r="D13" t="inlineStr">
        <is>
          <t>2032-09-22</t>
        </is>
      </c>
      <c r="E13" t="n">
        <v>0.5041</v>
      </c>
      <c r="F13" t="n">
        <v>-72088</v>
      </c>
      <c r="G13" t="n">
        <v>240073</v>
      </c>
      <c r="H13" t="n">
        <v>167985</v>
      </c>
      <c r="I13" t="n">
        <v>0.7595420000000001</v>
      </c>
      <c r="J13" t="n">
        <v>127592</v>
      </c>
      <c r="K13" s="4" t="b">
        <v>1</v>
      </c>
      <c r="L13" t="inlineStr">
        <is>
          <t>2032-03-18</t>
        </is>
      </c>
      <c r="M13" t="n">
        <v>5.0152</v>
      </c>
      <c r="N13" t="n">
        <v>-358.5</v>
      </c>
      <c r="O13" t="n">
        <v>1256045</v>
      </c>
      <c r="P13" t="n">
        <v>4503217</v>
      </c>
      <c r="Q13" t="inlineStr"/>
      <c r="R13" t="inlineStr"/>
    </row>
    <row r="14">
      <c r="A14" t="n">
        <v>12</v>
      </c>
      <c r="B14" t="inlineStr">
        <is>
          <t>2032-09-22</t>
        </is>
      </c>
      <c r="C14" t="inlineStr">
        <is>
          <t>2033-03-22</t>
        </is>
      </c>
      <c r="D14" t="inlineStr">
        <is>
          <t>2033-03-22</t>
        </is>
      </c>
      <c r="E14" t="n">
        <v>0.4959</v>
      </c>
      <c r="F14" t="n">
        <v>-70912</v>
      </c>
      <c r="G14" t="n">
        <v>236113</v>
      </c>
      <c r="H14" t="n">
        <v>165200</v>
      </c>
      <c r="I14" t="n">
        <v>0.742022</v>
      </c>
      <c r="J14" t="n">
        <v>122582</v>
      </c>
      <c r="K14" s="4" t="b">
        <v>1</v>
      </c>
      <c r="L14" t="inlineStr">
        <is>
          <t>2032-09-20</t>
        </is>
      </c>
      <c r="M14" t="n">
        <v>5.0232</v>
      </c>
      <c r="N14" t="n">
        <v>-359.3</v>
      </c>
      <c r="O14" t="n">
        <v>1217756</v>
      </c>
      <c r="P14" t="n">
        <v>4375625</v>
      </c>
      <c r="Q14" t="inlineStr"/>
      <c r="R14" t="inlineStr"/>
    </row>
    <row r="15">
      <c r="A15" t="n">
        <v>13</v>
      </c>
      <c r="B15" t="inlineStr">
        <is>
          <t>2033-03-22</t>
        </is>
      </c>
      <c r="C15" t="inlineStr">
        <is>
          <t>2033-09-22</t>
        </is>
      </c>
      <c r="D15" t="inlineStr">
        <is>
          <t>2033-09-22</t>
        </is>
      </c>
      <c r="E15" t="n">
        <v>0.5041</v>
      </c>
      <c r="F15" t="n">
        <v>-72088</v>
      </c>
      <c r="G15" t="n">
        <v>240073</v>
      </c>
      <c r="H15" t="n">
        <v>167985</v>
      </c>
      <c r="I15" t="n">
        <v>0.724626</v>
      </c>
      <c r="J15" t="n">
        <v>121726</v>
      </c>
      <c r="K15" s="4" t="b">
        <v>1</v>
      </c>
      <c r="L15" t="inlineStr">
        <is>
          <t>2033-03-18</t>
        </is>
      </c>
      <c r="M15" t="n">
        <v>5.0313</v>
      </c>
      <c r="N15" t="n">
        <v>-360.1</v>
      </c>
      <c r="O15" t="n">
        <v>1180960</v>
      </c>
      <c r="P15" t="n">
        <v>4253043</v>
      </c>
      <c r="Q15" t="inlineStr"/>
      <c r="R15" t="inlineStr"/>
    </row>
    <row r="16">
      <c r="A16" t="n">
        <v>14</v>
      </c>
      <c r="B16" t="inlineStr">
        <is>
          <t>2033-09-22</t>
        </is>
      </c>
      <c r="C16" t="inlineStr">
        <is>
          <t>2034-03-22</t>
        </is>
      </c>
      <c r="D16" t="inlineStr">
        <is>
          <t>2034-03-22</t>
        </is>
      </c>
      <c r="E16" t="n">
        <v>0.4959</v>
      </c>
      <c r="F16" t="n">
        <v>-70912</v>
      </c>
      <c r="G16" t="n">
        <v>249695</v>
      </c>
      <c r="H16" t="n">
        <v>178782</v>
      </c>
      <c r="I16" t="n">
        <v>0.706973</v>
      </c>
      <c r="J16" t="n">
        <v>126394</v>
      </c>
      <c r="K16" s="4" t="b">
        <v>1</v>
      </c>
      <c r="L16" t="inlineStr">
        <is>
          <t>2033-09-20</t>
        </is>
      </c>
      <c r="M16" t="n">
        <v>5.0399</v>
      </c>
      <c r="N16" t="n">
        <v>-361</v>
      </c>
      <c r="O16" t="n">
        <v>1144431</v>
      </c>
      <c r="P16" t="n">
        <v>4131316</v>
      </c>
      <c r="Q16" t="inlineStr"/>
      <c r="R16" t="inlineStr"/>
    </row>
    <row r="17">
      <c r="A17" t="n">
        <v>15</v>
      </c>
      <c r="B17" t="inlineStr">
        <is>
          <t>2034-03-22</t>
        </is>
      </c>
      <c r="C17" t="inlineStr">
        <is>
          <t>2034-09-22</t>
        </is>
      </c>
      <c r="D17" t="inlineStr">
        <is>
          <t>2034-09-22</t>
        </is>
      </c>
      <c r="E17" t="n">
        <v>0.5041</v>
      </c>
      <c r="F17" t="n">
        <v>-72088</v>
      </c>
      <c r="G17" t="n">
        <v>253885</v>
      </c>
      <c r="H17" t="n">
        <v>181798</v>
      </c>
      <c r="I17" t="n">
        <v>0.689469</v>
      </c>
      <c r="J17" t="n">
        <v>125344</v>
      </c>
      <c r="K17" s="4" t="b">
        <v>1</v>
      </c>
      <c r="L17" t="inlineStr">
        <is>
          <t>2034-03-20</t>
        </is>
      </c>
      <c r="M17" t="n">
        <v>5.0401</v>
      </c>
      <c r="N17" t="n">
        <v>-361</v>
      </c>
      <c r="O17" t="n">
        <v>1109373</v>
      </c>
      <c r="P17" t="n">
        <v>4004922</v>
      </c>
      <c r="Q17" t="inlineStr"/>
      <c r="R17" t="inlineStr"/>
    </row>
    <row r="18">
      <c r="A18" t="n">
        <v>16</v>
      </c>
      <c r="B18" t="inlineStr">
        <is>
          <t>2034-09-22</t>
        </is>
      </c>
      <c r="C18" t="inlineStr">
        <is>
          <t>2035-03-22</t>
        </is>
      </c>
      <c r="D18" t="inlineStr">
        <is>
          <t>2035-03-22</t>
        </is>
      </c>
      <c r="E18" t="n">
        <v>0.4959</v>
      </c>
      <c r="F18" t="n">
        <v>-70912</v>
      </c>
      <c r="G18" t="n">
        <v>249695</v>
      </c>
      <c r="H18" t="n">
        <v>178782</v>
      </c>
      <c r="I18" t="n">
        <v>0.672672</v>
      </c>
      <c r="J18" t="n">
        <v>120262</v>
      </c>
      <c r="K18" s="4" t="b">
        <v>1</v>
      </c>
      <c r="L18" t="inlineStr">
        <is>
          <t>2034-09-20</t>
        </is>
      </c>
      <c r="M18" t="n">
        <v>5.0402</v>
      </c>
      <c r="N18" t="n">
        <v>-361</v>
      </c>
      <c r="O18" t="n">
        <v>1074616</v>
      </c>
      <c r="P18" t="n">
        <v>3879578</v>
      </c>
      <c r="Q18" t="inlineStr"/>
      <c r="R18" t="inlineStr"/>
    </row>
    <row r="19">
      <c r="A19" t="n">
        <v>17</v>
      </c>
      <c r="B19" t="inlineStr">
        <is>
          <t>2035-03-22</t>
        </is>
      </c>
      <c r="C19" t="inlineStr">
        <is>
          <t>2035-09-24</t>
        </is>
      </c>
      <c r="D19" t="inlineStr">
        <is>
          <t>2035-09-24</t>
        </is>
      </c>
      <c r="E19" t="n">
        <v>0.5096000000000001</v>
      </c>
      <c r="F19" t="n">
        <v>-72871</v>
      </c>
      <c r="G19" t="n">
        <v>256680</v>
      </c>
      <c r="H19" t="n">
        <v>183809</v>
      </c>
      <c r="I19" t="n">
        <v>0.655838</v>
      </c>
      <c r="J19" t="n">
        <v>120549</v>
      </c>
      <c r="K19" s="4" t="b">
        <v>1</v>
      </c>
      <c r="L19" t="inlineStr">
        <is>
          <t>2035-03-20</t>
        </is>
      </c>
      <c r="M19" t="n">
        <v>5.0404</v>
      </c>
      <c r="N19" t="n">
        <v>-361</v>
      </c>
      <c r="O19" t="n">
        <v>1041259</v>
      </c>
      <c r="P19" t="n">
        <v>3759316</v>
      </c>
      <c r="Q19" t="inlineStr"/>
      <c r="R19" t="inlineStr"/>
    </row>
    <row r="20">
      <c r="A20" t="n">
        <v>18</v>
      </c>
      <c r="B20" t="inlineStr">
        <is>
          <t>2035-09-24</t>
        </is>
      </c>
      <c r="C20" t="inlineStr">
        <is>
          <t>2036-03-24</t>
        </is>
      </c>
      <c r="D20" t="inlineStr">
        <is>
          <t>2036-03-24</t>
        </is>
      </c>
      <c r="E20" t="n">
        <v>0.4986</v>
      </c>
      <c r="F20" t="n">
        <v>-71304</v>
      </c>
      <c r="G20" t="n">
        <v>251091</v>
      </c>
      <c r="H20" t="n">
        <v>179787</v>
      </c>
      <c r="I20" t="n">
        <v>0.639774</v>
      </c>
      <c r="J20" t="n">
        <v>115023</v>
      </c>
      <c r="K20" s="4" t="b">
        <v>1</v>
      </c>
      <c r="L20" t="inlineStr">
        <is>
          <t>2035-09-20</t>
        </is>
      </c>
      <c r="M20" t="n">
        <v>5.0403</v>
      </c>
      <c r="N20" t="n">
        <v>-361</v>
      </c>
      <c r="O20" t="n">
        <v>1007914</v>
      </c>
      <c r="P20" t="n">
        <v>3638919</v>
      </c>
      <c r="Q20" t="inlineStr"/>
      <c r="R20" t="inlineStr"/>
    </row>
    <row r="21">
      <c r="A21" t="n">
        <v>19</v>
      </c>
      <c r="B21" t="inlineStr">
        <is>
          <t>2036-03-24</t>
        </is>
      </c>
      <c r="C21" t="inlineStr">
        <is>
          <t>2036-09-22</t>
        </is>
      </c>
      <c r="D21" t="inlineStr">
        <is>
          <t>2036-09-22</t>
        </is>
      </c>
      <c r="E21" t="n">
        <v>0.4986</v>
      </c>
      <c r="F21" t="n">
        <v>-71304</v>
      </c>
      <c r="G21" t="n">
        <v>251091</v>
      </c>
      <c r="H21" t="n">
        <v>179787</v>
      </c>
      <c r="I21" t="n">
        <v>0.624104</v>
      </c>
      <c r="J21" t="n">
        <v>112206</v>
      </c>
      <c r="K21" s="4" t="b">
        <v>1</v>
      </c>
      <c r="L21" t="inlineStr">
        <is>
          <t>2036-03-20</t>
        </is>
      </c>
      <c r="M21" t="n">
        <v>5.0405</v>
      </c>
      <c r="N21" t="n">
        <v>-361.1</v>
      </c>
      <c r="O21" t="n">
        <v>976013</v>
      </c>
      <c r="P21" t="n">
        <v>3523896</v>
      </c>
      <c r="Q21" t="inlineStr"/>
      <c r="R21" t="inlineStr"/>
    </row>
    <row r="22">
      <c r="A22" t="n">
        <v>20</v>
      </c>
      <c r="B22" t="inlineStr">
        <is>
          <t>2036-09-22</t>
        </is>
      </c>
      <c r="C22" t="inlineStr">
        <is>
          <t>2037-03-23</t>
        </is>
      </c>
      <c r="D22" t="inlineStr">
        <is>
          <t>2037-03-23</t>
        </is>
      </c>
      <c r="E22" t="n">
        <v>0.4986</v>
      </c>
      <c r="F22" t="n">
        <v>-71304</v>
      </c>
      <c r="G22" t="n">
        <v>266864</v>
      </c>
      <c r="H22" t="n">
        <v>195559</v>
      </c>
      <c r="I22" t="n">
        <v>0.607881</v>
      </c>
      <c r="J22" t="n">
        <v>118877</v>
      </c>
      <c r="K22" s="4" t="b">
        <v>1</v>
      </c>
      <c r="L22" t="inlineStr">
        <is>
          <t>2036-09-18</t>
        </is>
      </c>
      <c r="M22" t="n">
        <v>5.0408</v>
      </c>
      <c r="N22" t="n">
        <v>-361.1</v>
      </c>
      <c r="O22" t="n">
        <v>944817</v>
      </c>
      <c r="P22" t="n">
        <v>3411538</v>
      </c>
      <c r="Q22" t="inlineStr"/>
      <c r="R22" t="inlineStr"/>
    </row>
    <row r="23">
      <c r="A23" t="n">
        <v>21</v>
      </c>
      <c r="B23" t="inlineStr">
        <is>
          <t>2037-03-23</t>
        </is>
      </c>
      <c r="C23" t="inlineStr">
        <is>
          <t>2037-09-22</t>
        </is>
      </c>
      <c r="D23" t="inlineStr">
        <is>
          <t>2037-09-22</t>
        </is>
      </c>
      <c r="E23" t="n">
        <v>0.5014</v>
      </c>
      <c r="F23" t="n">
        <v>-71696</v>
      </c>
      <c r="G23" t="n">
        <v>268349</v>
      </c>
      <c r="H23" t="n">
        <v>196653</v>
      </c>
      <c r="I23" t="n">
        <v>0.591995</v>
      </c>
      <c r="J23" t="n">
        <v>116418</v>
      </c>
      <c r="K23" s="4" t="b">
        <v>1</v>
      </c>
      <c r="L23" t="inlineStr">
        <is>
          <t>2037-03-19</t>
        </is>
      </c>
      <c r="M23" t="n">
        <v>5.0304</v>
      </c>
      <c r="N23" t="n">
        <v>-360</v>
      </c>
      <c r="O23" t="n">
        <v>914545</v>
      </c>
      <c r="P23" t="n">
        <v>3292737</v>
      </c>
      <c r="Q23" t="inlineStr"/>
      <c r="R23" t="inlineStr"/>
    </row>
    <row r="24">
      <c r="A24" t="n">
        <v>22</v>
      </c>
      <c r="B24" t="inlineStr">
        <is>
          <t>2037-09-22</t>
        </is>
      </c>
      <c r="C24" t="inlineStr">
        <is>
          <t>2038-03-22</t>
        </is>
      </c>
      <c r="D24" t="inlineStr">
        <is>
          <t>2038-03-22</t>
        </is>
      </c>
      <c r="E24" t="n">
        <v>0.4959</v>
      </c>
      <c r="F24" t="n">
        <v>-70912</v>
      </c>
      <c r="G24" t="n">
        <v>265378</v>
      </c>
      <c r="H24" t="n">
        <v>194466</v>
      </c>
      <c r="I24" t="n">
        <v>0.576691</v>
      </c>
      <c r="J24" t="n">
        <v>112147</v>
      </c>
      <c r="K24" s="4" t="b">
        <v>1</v>
      </c>
      <c r="L24" t="inlineStr">
        <is>
          <t>2037-09-18</t>
        </is>
      </c>
      <c r="M24" t="n">
        <v>5.0197</v>
      </c>
      <c r="N24" t="n">
        <v>-359</v>
      </c>
      <c r="O24" t="n">
        <v>884825</v>
      </c>
      <c r="P24" t="n">
        <v>3176243</v>
      </c>
      <c r="Q24" t="inlineStr"/>
      <c r="R24" t="inlineStr"/>
    </row>
    <row r="25">
      <c r="A25" t="n">
        <v>23</v>
      </c>
      <c r="B25" t="inlineStr">
        <is>
          <t>2038-03-22</t>
        </is>
      </c>
      <c r="C25" t="inlineStr">
        <is>
          <t>2038-09-22</t>
        </is>
      </c>
      <c r="D25" t="inlineStr">
        <is>
          <t>2038-09-22</t>
        </is>
      </c>
      <c r="E25" t="n">
        <v>0.5041</v>
      </c>
      <c r="F25" t="n">
        <v>-72088</v>
      </c>
      <c r="G25" t="n">
        <v>269835</v>
      </c>
      <c r="H25" t="n">
        <v>197748</v>
      </c>
      <c r="I25" t="n">
        <v>0.561539</v>
      </c>
      <c r="J25" t="n">
        <v>111043</v>
      </c>
      <c r="K25" s="4" t="b">
        <v>1</v>
      </c>
      <c r="L25" t="inlineStr">
        <is>
          <t>2038-03-18</t>
        </is>
      </c>
      <c r="M25" t="n">
        <v>5.0086</v>
      </c>
      <c r="N25" t="n">
        <v>-357.9</v>
      </c>
      <c r="O25" t="n">
        <v>856228</v>
      </c>
      <c r="P25" t="n">
        <v>3064097</v>
      </c>
      <c r="Q25" t="inlineStr"/>
      <c r="R25" t="inlineStr"/>
    </row>
    <row r="26">
      <c r="A26" t="n">
        <v>24</v>
      </c>
      <c r="B26" t="inlineStr">
        <is>
          <t>2038-09-22</t>
        </is>
      </c>
      <c r="C26" t="inlineStr">
        <is>
          <t>2039-03-22</t>
        </is>
      </c>
      <c r="D26" t="inlineStr">
        <is>
          <t>2039-03-22</t>
        </is>
      </c>
      <c r="E26" t="n">
        <v>0.4959</v>
      </c>
      <c r="F26" t="n">
        <v>-70912</v>
      </c>
      <c r="G26" t="n">
        <v>265378</v>
      </c>
      <c r="H26" t="n">
        <v>194466</v>
      </c>
      <c r="I26" t="n">
        <v>0.547022</v>
      </c>
      <c r="J26" t="n">
        <v>106377</v>
      </c>
      <c r="K26" s="4" t="b">
        <v>1</v>
      </c>
      <c r="L26" t="inlineStr">
        <is>
          <t>2038-09-20</t>
        </is>
      </c>
      <c r="M26" t="n">
        <v>4.9968</v>
      </c>
      <c r="N26" t="n">
        <v>-356.7</v>
      </c>
      <c r="O26" t="n">
        <v>827920</v>
      </c>
      <c r="P26" t="n">
        <v>2953054</v>
      </c>
      <c r="Q26" t="inlineStr"/>
      <c r="R26" t="inlineStr"/>
    </row>
    <row r="27">
      <c r="A27" t="n">
        <v>25</v>
      </c>
      <c r="B27" t="inlineStr">
        <is>
          <t>2039-03-22</t>
        </is>
      </c>
      <c r="C27" t="inlineStr">
        <is>
          <t>2039-09-22</t>
        </is>
      </c>
      <c r="D27" t="inlineStr">
        <is>
          <t>2039-09-22</t>
        </is>
      </c>
      <c r="E27" t="n">
        <v>0.5041</v>
      </c>
      <c r="F27" t="n">
        <v>-72088</v>
      </c>
      <c r="G27" t="n">
        <v>269835</v>
      </c>
      <c r="H27" t="n">
        <v>197748</v>
      </c>
      <c r="I27" t="n">
        <v>0.532649</v>
      </c>
      <c r="J27" t="n">
        <v>105330</v>
      </c>
      <c r="K27" s="4" t="b">
        <v>1</v>
      </c>
      <c r="L27" t="inlineStr">
        <is>
          <t>2039-03-18</t>
        </is>
      </c>
      <c r="M27" t="n">
        <v>4.9848</v>
      </c>
      <c r="N27" t="n">
        <v>-355.5</v>
      </c>
      <c r="O27" t="n">
        <v>800794</v>
      </c>
      <c r="P27" t="n">
        <v>2846677</v>
      </c>
      <c r="Q27" t="inlineStr"/>
      <c r="R27" t="inlineStr"/>
    </row>
    <row r="28">
      <c r="A28" t="n">
        <v>26</v>
      </c>
      <c r="B28" t="inlineStr">
        <is>
          <t>2039-09-22</t>
        </is>
      </c>
      <c r="C28" t="inlineStr">
        <is>
          <t>2040-03-22</t>
        </is>
      </c>
      <c r="D28" t="inlineStr">
        <is>
          <t>2040-03-22</t>
        </is>
      </c>
      <c r="E28" t="n">
        <v>0.4986</v>
      </c>
      <c r="F28" t="n">
        <v>-71304</v>
      </c>
      <c r="G28" t="n">
        <v>266864</v>
      </c>
      <c r="H28" t="n">
        <v>195559</v>
      </c>
      <c r="I28" t="n">
        <v>0.518804</v>
      </c>
      <c r="J28" t="n">
        <v>101457</v>
      </c>
      <c r="K28" s="4" t="b">
        <v>1</v>
      </c>
      <c r="L28" t="inlineStr">
        <is>
          <t>2039-09-20</t>
        </is>
      </c>
      <c r="M28" t="n">
        <v>4.9721</v>
      </c>
      <c r="N28" t="n">
        <v>-354.2</v>
      </c>
      <c r="O28" t="n">
        <v>773943</v>
      </c>
      <c r="P28" t="n">
        <v>2741347</v>
      </c>
      <c r="Q28" t="inlineStr"/>
      <c r="R28" t="inlineStr"/>
    </row>
    <row r="29">
      <c r="A29" t="n">
        <v>27</v>
      </c>
      <c r="B29" t="inlineStr">
        <is>
          <t>2040-03-22</t>
        </is>
      </c>
      <c r="C29" t="inlineStr">
        <is>
          <t>2040-09-24</t>
        </is>
      </c>
      <c r="D29" t="inlineStr">
        <is>
          <t>2040-09-24</t>
        </is>
      </c>
      <c r="E29" t="n">
        <v>0.5096000000000001</v>
      </c>
      <c r="F29" t="n">
        <v>-72871</v>
      </c>
      <c r="G29" t="n">
        <v>272808</v>
      </c>
      <c r="H29" t="n">
        <v>199937</v>
      </c>
      <c r="I29" t="n">
        <v>0.505027</v>
      </c>
      <c r="J29" t="n">
        <v>100973</v>
      </c>
      <c r="K29" s="4" t="b">
        <v>1</v>
      </c>
      <c r="L29" t="inlineStr">
        <is>
          <t>2040-03-20</t>
        </is>
      </c>
      <c r="M29" t="n">
        <v>4.9589</v>
      </c>
      <c r="N29" t="n">
        <v>-352.9</v>
      </c>
      <c r="O29" t="n">
        <v>748073</v>
      </c>
      <c r="P29" t="n">
        <v>2639890</v>
      </c>
      <c r="Q29" t="inlineStr"/>
      <c r="R29" t="inlineStr"/>
    </row>
    <row r="30">
      <c r="A30" t="n">
        <v>28</v>
      </c>
      <c r="B30" t="inlineStr">
        <is>
          <t>2040-09-24</t>
        </is>
      </c>
      <c r="C30" t="inlineStr">
        <is>
          <t>2041-03-22</t>
        </is>
      </c>
      <c r="D30" t="inlineStr">
        <is>
          <t>2041-03-22</t>
        </is>
      </c>
      <c r="E30" t="n">
        <v>0.4904</v>
      </c>
      <c r="F30" t="n">
        <v>-70129</v>
      </c>
      <c r="G30" t="n">
        <v>262407</v>
      </c>
      <c r="H30" t="n">
        <v>192279</v>
      </c>
      <c r="I30" t="n">
        <v>0.492113</v>
      </c>
      <c r="J30" t="n">
        <v>94623</v>
      </c>
      <c r="K30" s="4" t="b">
        <v>1</v>
      </c>
      <c r="L30" t="inlineStr">
        <is>
          <t>2040-09-20</t>
        </is>
      </c>
      <c r="M30" t="n">
        <v>4.9447</v>
      </c>
      <c r="N30" t="n">
        <v>-351.5</v>
      </c>
      <c r="O30" t="n">
        <v>722415</v>
      </c>
      <c r="P30" t="n">
        <v>2539067</v>
      </c>
      <c r="Q30" t="inlineStr"/>
      <c r="R30" t="inlineStr"/>
    </row>
    <row r="31">
      <c r="A31" t="n">
        <v>29</v>
      </c>
      <c r="B31" t="inlineStr">
        <is>
          <t>2041-03-22</t>
        </is>
      </c>
      <c r="C31" t="inlineStr">
        <is>
          <t>2041-09-23</t>
        </is>
      </c>
      <c r="D31" t="inlineStr">
        <is>
          <t>2041-09-23</t>
        </is>
      </c>
      <c r="E31" t="n">
        <v>0.5068</v>
      </c>
      <c r="F31" t="n">
        <v>-72479</v>
      </c>
      <c r="G31" t="n">
        <v>271322</v>
      </c>
      <c r="H31" t="n">
        <v>198842</v>
      </c>
      <c r="I31" t="n">
        <v>0.479114</v>
      </c>
      <c r="J31" t="n">
        <v>95268</v>
      </c>
      <c r="K31" s="4" t="b">
        <v>1</v>
      </c>
      <c r="L31" t="inlineStr">
        <is>
          <t>2041-03-20</t>
        </is>
      </c>
      <c r="M31" t="n">
        <v>4.9308</v>
      </c>
      <c r="N31" t="n">
        <v>-350.1</v>
      </c>
      <c r="O31" t="n">
        <v>698204</v>
      </c>
      <c r="P31" t="n">
        <v>2444293</v>
      </c>
      <c r="Q31" t="inlineStr"/>
      <c r="R31" t="inlineStr"/>
    </row>
    <row r="32">
      <c r="A32" t="n">
        <v>30</v>
      </c>
      <c r="B32" t="inlineStr">
        <is>
          <t>2041-09-23</t>
        </is>
      </c>
      <c r="C32" t="inlineStr">
        <is>
          <t>2042-03-24</t>
        </is>
      </c>
      <c r="D32" t="inlineStr">
        <is>
          <t>2042-03-24</t>
        </is>
      </c>
      <c r="E32" t="n">
        <v>0.4986</v>
      </c>
      <c r="F32" t="n">
        <v>-71304</v>
      </c>
      <c r="G32" t="n">
        <v>270736</v>
      </c>
      <c r="H32" t="n">
        <v>199432</v>
      </c>
      <c r="I32" t="n">
        <v>0.466485</v>
      </c>
      <c r="J32" t="n">
        <v>93032</v>
      </c>
      <c r="K32" s="4" t="b">
        <v>1</v>
      </c>
      <c r="L32" t="inlineStr">
        <is>
          <t>2041-09-19</t>
        </is>
      </c>
      <c r="M32" t="n">
        <v>4.9155</v>
      </c>
      <c r="N32" t="n">
        <v>-348.6</v>
      </c>
      <c r="O32" t="n">
        <v>673959</v>
      </c>
      <c r="P32" t="n">
        <v>2349101</v>
      </c>
      <c r="Q32" t="inlineStr"/>
      <c r="R32" t="inlineStr"/>
    </row>
    <row r="33">
      <c r="A33" t="n">
        <v>31</v>
      </c>
      <c r="B33" t="inlineStr">
        <is>
          <t>2042-03-24</t>
        </is>
      </c>
      <c r="C33" t="inlineStr">
        <is>
          <t>2042-09-22</t>
        </is>
      </c>
      <c r="D33" t="inlineStr">
        <is>
          <t>2042-09-22</t>
        </is>
      </c>
      <c r="E33" t="n">
        <v>0.4986</v>
      </c>
      <c r="F33" t="n">
        <v>-71304</v>
      </c>
      <c r="G33" t="n">
        <v>270736</v>
      </c>
      <c r="H33" t="n">
        <v>199432</v>
      </c>
      <c r="I33" t="n">
        <v>0.454188</v>
      </c>
      <c r="J33" t="n">
        <v>90579</v>
      </c>
      <c r="K33" s="4" t="b">
        <v>0</v>
      </c>
      <c r="L33" t="inlineStr">
        <is>
          <t>2042-03-20</t>
        </is>
      </c>
      <c r="M33" t="n">
        <v>4.8971</v>
      </c>
      <c r="N33" t="n">
        <v>-346.7</v>
      </c>
      <c r="O33" t="n">
        <v>650737</v>
      </c>
      <c r="P33" t="n">
        <v>2256144</v>
      </c>
      <c r="Q33" t="inlineStr"/>
      <c r="R33" t="inlineStr"/>
    </row>
    <row r="34">
      <c r="A34" t="n">
        <v>32</v>
      </c>
      <c r="B34" t="inlineStr">
        <is>
          <t>2042-09-22</t>
        </is>
      </c>
      <c r="C34" t="inlineStr">
        <is>
          <t>2043-03-23</t>
        </is>
      </c>
      <c r="D34" t="inlineStr">
        <is>
          <t>2043-03-23</t>
        </is>
      </c>
      <c r="E34" t="n">
        <v>0.4986</v>
      </c>
      <c r="F34" t="n">
        <v>-71304</v>
      </c>
      <c r="G34" t="n">
        <v>270736</v>
      </c>
      <c r="H34" t="n">
        <v>199432</v>
      </c>
      <c r="I34" t="n">
        <v>0.442216</v>
      </c>
      <c r="J34" t="n">
        <v>88192</v>
      </c>
      <c r="K34" s="4" t="b">
        <v>0</v>
      </c>
      <c r="L34" t="inlineStr">
        <is>
          <t>2042-09-18</t>
        </is>
      </c>
      <c r="M34" t="n">
        <v>4.878</v>
      </c>
      <c r="N34" t="n">
        <v>-344.8</v>
      </c>
      <c r="O34" t="n">
        <v>628013</v>
      </c>
      <c r="P34" t="n">
        <v>2165414</v>
      </c>
      <c r="Q34" t="inlineStr"/>
      <c r="R34" t="inlineStr"/>
    </row>
    <row r="35">
      <c r="A35" t="n">
        <v>33</v>
      </c>
      <c r="B35" t="inlineStr">
        <is>
          <t>2043-03-23</t>
        </is>
      </c>
      <c r="C35" t="inlineStr">
        <is>
          <t>2043-09-22</t>
        </is>
      </c>
      <c r="D35" t="inlineStr">
        <is>
          <t>2043-09-22</t>
        </is>
      </c>
      <c r="E35" t="n">
        <v>0.5014</v>
      </c>
      <c r="F35" t="n">
        <v>-71696</v>
      </c>
      <c r="G35" t="n">
        <v>272243</v>
      </c>
      <c r="H35" t="n">
        <v>200547</v>
      </c>
      <c r="I35" t="n">
        <v>0.430496</v>
      </c>
      <c r="J35" t="n">
        <v>86335</v>
      </c>
      <c r="K35" s="4" t="b">
        <v>0</v>
      </c>
      <c r="L35" t="inlineStr">
        <is>
          <t>2043-03-19</t>
        </is>
      </c>
      <c r="M35" t="n">
        <v>4.8579</v>
      </c>
      <c r="N35" t="n">
        <v>-342.8</v>
      </c>
      <c r="O35" t="n">
        <v>606001</v>
      </c>
      <c r="P35" t="n">
        <v>2077298</v>
      </c>
      <c r="Q35" t="inlineStr"/>
      <c r="R35" t="inlineStr"/>
    </row>
    <row r="36">
      <c r="A36" t="n">
        <v>34</v>
      </c>
      <c r="B36" t="inlineStr">
        <is>
          <t>2043-09-22</t>
        </is>
      </c>
      <c r="C36" t="inlineStr">
        <is>
          <t>2044-03-22</t>
        </is>
      </c>
      <c r="D36" t="inlineStr">
        <is>
          <t>2044-03-22</t>
        </is>
      </c>
      <c r="E36" t="n">
        <v>0.4986</v>
      </c>
      <c r="F36" t="n">
        <v>-71304</v>
      </c>
      <c r="G36" t="n">
        <v>270736</v>
      </c>
      <c r="H36" t="n">
        <v>199432</v>
      </c>
      <c r="I36" t="n">
        <v>0.419148</v>
      </c>
      <c r="J36" t="n">
        <v>83591</v>
      </c>
      <c r="K36" s="4" t="b">
        <v>0</v>
      </c>
      <c r="L36" t="inlineStr">
        <is>
          <t>2043-09-18</t>
        </is>
      </c>
      <c r="M36" t="n">
        <v>4.8368</v>
      </c>
      <c r="N36" t="n">
        <v>-340.7</v>
      </c>
      <c r="O36" t="n">
        <v>584379</v>
      </c>
      <c r="P36" t="n">
        <v>1990888</v>
      </c>
      <c r="Q36" t="inlineStr"/>
      <c r="R36" t="inlineStr"/>
    </row>
    <row r="37">
      <c r="A37" t="n">
        <v>35</v>
      </c>
      <c r="B37" t="inlineStr">
        <is>
          <t>2044-03-22</t>
        </is>
      </c>
      <c r="C37" t="inlineStr">
        <is>
          <t>2044-09-22</t>
        </is>
      </c>
      <c r="D37" t="inlineStr">
        <is>
          <t>2044-09-22</t>
        </is>
      </c>
      <c r="E37" t="n">
        <v>0.5041</v>
      </c>
      <c r="F37" t="n">
        <v>-72088</v>
      </c>
      <c r="G37" t="n">
        <v>273751</v>
      </c>
      <c r="H37" t="n">
        <v>201663</v>
      </c>
      <c r="I37" t="n">
        <v>0.407979</v>
      </c>
      <c r="J37" t="n">
        <v>82275</v>
      </c>
      <c r="K37" s="4" t="b">
        <v>0</v>
      </c>
      <c r="L37" t="inlineStr">
        <is>
          <t>2044-03-18</t>
        </is>
      </c>
      <c r="M37" t="n">
        <v>4.8149</v>
      </c>
      <c r="N37" t="n">
        <v>-338.5</v>
      </c>
      <c r="O37" t="n">
        <v>563479</v>
      </c>
      <c r="P37" t="n">
        <v>1907296</v>
      </c>
      <c r="Q37" t="inlineStr"/>
      <c r="R37" t="inlineStr"/>
    </row>
    <row r="38">
      <c r="A38" t="n">
        <v>36</v>
      </c>
      <c r="B38" t="inlineStr">
        <is>
          <t>2044-09-22</t>
        </is>
      </c>
      <c r="C38" t="inlineStr">
        <is>
          <t>2045-03-22</t>
        </is>
      </c>
      <c r="D38" t="inlineStr">
        <is>
          <t>2045-03-22</t>
        </is>
      </c>
      <c r="E38" t="n">
        <v>0.4959</v>
      </c>
      <c r="F38" t="n">
        <v>-70912</v>
      </c>
      <c r="G38" t="n">
        <v>269228</v>
      </c>
      <c r="H38" t="n">
        <v>198316</v>
      </c>
      <c r="I38" t="n">
        <v>0.397283</v>
      </c>
      <c r="J38" t="n">
        <v>78788</v>
      </c>
      <c r="K38" s="4" t="b">
        <v>0</v>
      </c>
      <c r="L38" t="inlineStr">
        <is>
          <t>2044-09-20</t>
        </is>
      </c>
      <c r="M38" t="n">
        <v>4.7915</v>
      </c>
      <c r="N38" t="n">
        <v>-336.2</v>
      </c>
      <c r="O38" t="n">
        <v>542912</v>
      </c>
      <c r="P38" t="n">
        <v>1825022</v>
      </c>
      <c r="Q38" t="inlineStr"/>
      <c r="R38" t="inlineStr"/>
    </row>
    <row r="39">
      <c r="A39" t="n">
        <v>37</v>
      </c>
      <c r="B39" t="inlineStr">
        <is>
          <t>2045-03-22</t>
        </is>
      </c>
      <c r="C39" t="inlineStr">
        <is>
          <t>2045-09-22</t>
        </is>
      </c>
      <c r="D39" t="inlineStr">
        <is>
          <t>2045-09-22</t>
        </is>
      </c>
      <c r="E39" t="n">
        <v>0.5041</v>
      </c>
      <c r="F39" t="n">
        <v>-72088</v>
      </c>
      <c r="G39" t="n">
        <v>273751</v>
      </c>
      <c r="H39" t="n">
        <v>201663</v>
      </c>
      <c r="I39" t="n">
        <v>0.386698</v>
      </c>
      <c r="J39" t="n">
        <v>77983</v>
      </c>
      <c r="K39" s="4" t="b">
        <v>0</v>
      </c>
      <c r="L39" t="inlineStr">
        <is>
          <t>2045-03-20</t>
        </is>
      </c>
      <c r="M39" t="n">
        <v>4.7675</v>
      </c>
      <c r="N39" t="n">
        <v>-333.8</v>
      </c>
      <c r="O39" t="n">
        <v>523211</v>
      </c>
      <c r="P39" t="n">
        <v>1746234</v>
      </c>
      <c r="Q39" t="inlineStr"/>
      <c r="R39" t="inlineStr"/>
    </row>
    <row r="40">
      <c r="A40" t="n">
        <v>38</v>
      </c>
      <c r="B40" t="inlineStr">
        <is>
          <t>2045-09-22</t>
        </is>
      </c>
      <c r="C40" t="inlineStr">
        <is>
          <t>2046-03-22</t>
        </is>
      </c>
      <c r="D40" t="inlineStr">
        <is>
          <t>2046-03-22</t>
        </is>
      </c>
      <c r="E40" t="n">
        <v>0.4959</v>
      </c>
      <c r="F40" t="n">
        <v>-70912</v>
      </c>
      <c r="G40" t="n">
        <v>269228</v>
      </c>
      <c r="H40" t="n">
        <v>198316</v>
      </c>
      <c r="I40" t="n">
        <v>0.37656</v>
      </c>
      <c r="J40" t="n">
        <v>74678</v>
      </c>
      <c r="K40" s="4" t="b">
        <v>0</v>
      </c>
      <c r="L40" t="inlineStr">
        <is>
          <t>2045-09-20</t>
        </is>
      </c>
      <c r="M40" t="n">
        <v>4.7419</v>
      </c>
      <c r="N40" t="n">
        <v>-331.2</v>
      </c>
      <c r="O40" t="n">
        <v>503717</v>
      </c>
      <c r="P40" t="n">
        <v>1668251</v>
      </c>
      <c r="Q40" t="inlineStr"/>
      <c r="R40" t="inlineStr"/>
    </row>
    <row r="41">
      <c r="A41" t="n">
        <v>39</v>
      </c>
      <c r="B41" t="inlineStr">
        <is>
          <t>2046-03-22</t>
        </is>
      </c>
      <c r="C41" t="inlineStr">
        <is>
          <t>2046-09-24</t>
        </is>
      </c>
      <c r="D41" t="inlineStr">
        <is>
          <t>2046-09-24</t>
        </is>
      </c>
      <c r="E41" t="n">
        <v>0.5096000000000001</v>
      </c>
      <c r="F41" t="n">
        <v>-72871</v>
      </c>
      <c r="G41" t="n">
        <v>276768</v>
      </c>
      <c r="H41" t="n">
        <v>203896</v>
      </c>
      <c r="I41" t="n">
        <v>0.366418</v>
      </c>
      <c r="J41" t="n">
        <v>74711</v>
      </c>
      <c r="K41" s="4" t="b">
        <v>0</v>
      </c>
      <c r="L41" t="inlineStr">
        <is>
          <t>2046-03-20</t>
        </is>
      </c>
      <c r="M41" t="n">
        <v>4.7154</v>
      </c>
      <c r="N41" t="n">
        <v>-328.5</v>
      </c>
      <c r="O41" t="n">
        <v>485044</v>
      </c>
      <c r="P41" t="n">
        <v>1593573</v>
      </c>
      <c r="Q41" t="inlineStr"/>
      <c r="R41" t="inlineStr"/>
    </row>
    <row r="42">
      <c r="A42" t="n">
        <v>40</v>
      </c>
      <c r="B42" t="inlineStr">
        <is>
          <t>2046-09-24</t>
        </is>
      </c>
      <c r="C42" t="inlineStr">
        <is>
          <t>2047-03-22</t>
        </is>
      </c>
      <c r="D42" t="inlineStr">
        <is>
          <t>2047-03-22</t>
        </is>
      </c>
      <c r="E42" t="n">
        <v>0.4904</v>
      </c>
      <c r="F42" t="n">
        <v>-70129</v>
      </c>
      <c r="G42" t="n">
        <v>246492</v>
      </c>
      <c r="H42" t="n">
        <v>176363</v>
      </c>
      <c r="I42" t="n">
        <v>0.357604</v>
      </c>
      <c r="J42" t="n">
        <v>63068</v>
      </c>
      <c r="K42" s="4" t="b">
        <v>0</v>
      </c>
      <c r="L42" t="inlineStr">
        <is>
          <t>2046-09-20</t>
        </is>
      </c>
      <c r="M42" t="n">
        <v>4.6865</v>
      </c>
      <c r="N42" t="n">
        <v>-325.7</v>
      </c>
      <c r="O42" t="n">
        <v>466450</v>
      </c>
      <c r="P42" t="n">
        <v>1519011</v>
      </c>
      <c r="Q42" t="inlineStr"/>
      <c r="R42" t="inlineStr"/>
    </row>
    <row r="43">
      <c r="A43" t="n">
        <v>41</v>
      </c>
      <c r="B43" t="inlineStr">
        <is>
          <t>2047-03-22</t>
        </is>
      </c>
      <c r="C43" t="inlineStr">
        <is>
          <t>2047-09-23</t>
        </is>
      </c>
      <c r="D43" t="inlineStr">
        <is>
          <t>2047-09-23</t>
        </is>
      </c>
      <c r="E43" t="n">
        <v>0.5068</v>
      </c>
      <c r="F43" t="n">
        <v>-72479</v>
      </c>
      <c r="G43" t="n">
        <v>254859</v>
      </c>
      <c r="H43" t="n">
        <v>182379</v>
      </c>
      <c r="I43" t="n">
        <v>0.348716</v>
      </c>
      <c r="J43" t="n">
        <v>63599</v>
      </c>
      <c r="K43" s="4" t="b">
        <v>0</v>
      </c>
      <c r="L43" t="inlineStr">
        <is>
          <t>2047-03-20</t>
        </is>
      </c>
      <c r="M43" t="n">
        <v>4.6735</v>
      </c>
      <c r="N43" t="n">
        <v>-324.3</v>
      </c>
      <c r="O43" t="n">
        <v>448835</v>
      </c>
      <c r="P43" t="n">
        <v>1455794</v>
      </c>
      <c r="Q43" t="inlineStr"/>
      <c r="R43" t="inlineStr"/>
    </row>
    <row r="44">
      <c r="A44" t="n">
        <v>42</v>
      </c>
      <c r="B44" t="inlineStr">
        <is>
          <t>2047-09-23</t>
        </is>
      </c>
      <c r="C44" t="inlineStr">
        <is>
          <t>2048-03-23</t>
        </is>
      </c>
      <c r="D44" t="inlineStr">
        <is>
          <t>2048-03-23</t>
        </is>
      </c>
      <c r="E44" t="n">
        <v>0.4986</v>
      </c>
      <c r="F44" t="n">
        <v>-71304</v>
      </c>
      <c r="G44" t="n">
        <v>250675</v>
      </c>
      <c r="H44" t="n">
        <v>179370</v>
      </c>
      <c r="I44" t="n">
        <v>0.340189</v>
      </c>
      <c r="J44" t="n">
        <v>61020</v>
      </c>
      <c r="K44" s="4" t="b">
        <v>0</v>
      </c>
      <c r="L44" t="inlineStr">
        <is>
          <t>2047-09-19</t>
        </is>
      </c>
      <c r="M44" t="n">
        <v>4.6588</v>
      </c>
      <c r="N44" t="n">
        <v>-322.9</v>
      </c>
      <c r="O44" t="n">
        <v>431199</v>
      </c>
      <c r="P44" t="n">
        <v>1392270</v>
      </c>
      <c r="Q44" t="inlineStr"/>
      <c r="R44" t="inlineStr"/>
    </row>
    <row r="45">
      <c r="A45" t="n">
        <v>43</v>
      </c>
      <c r="B45" t="inlineStr">
        <is>
          <t>2048-03-23</t>
        </is>
      </c>
      <c r="C45" t="inlineStr">
        <is>
          <t>2048-09-22</t>
        </is>
      </c>
      <c r="D45" t="inlineStr">
        <is>
          <t>2048-09-22</t>
        </is>
      </c>
      <c r="E45" t="n">
        <v>0.5014</v>
      </c>
      <c r="F45" t="n">
        <v>-71696</v>
      </c>
      <c r="G45" t="n">
        <v>252069</v>
      </c>
      <c r="H45" t="n">
        <v>180373</v>
      </c>
      <c r="I45" t="n">
        <v>0.331824</v>
      </c>
      <c r="J45" t="n">
        <v>59852</v>
      </c>
      <c r="K45" s="4" t="b">
        <v>0</v>
      </c>
      <c r="L45" t="inlineStr">
        <is>
          <t>2048-03-19</t>
        </is>
      </c>
      <c r="M45" t="n">
        <v>4.6437</v>
      </c>
      <c r="N45" t="n">
        <v>-321.4</v>
      </c>
      <c r="O45" t="n">
        <v>414236</v>
      </c>
      <c r="P45" t="n">
        <v>1331250</v>
      </c>
      <c r="Q45" t="inlineStr"/>
      <c r="R45" t="inlineStr"/>
    </row>
    <row r="46">
      <c r="A46" t="n">
        <v>44</v>
      </c>
      <c r="B46" t="inlineStr">
        <is>
          <t>2048-09-22</t>
        </is>
      </c>
      <c r="C46" t="inlineStr">
        <is>
          <t>2049-03-22</t>
        </is>
      </c>
      <c r="D46" t="inlineStr">
        <is>
          <t>2049-03-22</t>
        </is>
      </c>
      <c r="E46" t="n">
        <v>0.4959</v>
      </c>
      <c r="F46" t="n">
        <v>-70912</v>
      </c>
      <c r="G46" t="n">
        <v>249280</v>
      </c>
      <c r="H46" t="n">
        <v>178368</v>
      </c>
      <c r="I46" t="n">
        <v>0.323754</v>
      </c>
      <c r="J46" t="n">
        <v>57747</v>
      </c>
      <c r="K46" s="4" t="b">
        <v>0</v>
      </c>
      <c r="L46" t="inlineStr">
        <is>
          <t>2048-09-18</t>
        </is>
      </c>
      <c r="M46" t="n">
        <v>4.6278</v>
      </c>
      <c r="N46" t="n">
        <v>-319.8</v>
      </c>
      <c r="O46" t="n">
        <v>397560</v>
      </c>
      <c r="P46" t="n">
        <v>1271323</v>
      </c>
      <c r="Q46" t="inlineStr"/>
      <c r="R46" t="inlineStr"/>
    </row>
    <row r="47">
      <c r="A47" t="n">
        <v>45</v>
      </c>
      <c r="B47" t="inlineStr">
        <is>
          <t>2049-03-22</t>
        </is>
      </c>
      <c r="C47" t="inlineStr">
        <is>
          <t>2049-09-22</t>
        </is>
      </c>
      <c r="D47" t="inlineStr">
        <is>
          <t>2049-09-22</t>
        </is>
      </c>
      <c r="E47" t="n">
        <v>0.5041</v>
      </c>
      <c r="F47" t="n">
        <v>-72088</v>
      </c>
      <c r="G47" t="n">
        <v>253464</v>
      </c>
      <c r="H47" t="n">
        <v>181376</v>
      </c>
      <c r="I47" t="n">
        <v>0.315751</v>
      </c>
      <c r="J47" t="n">
        <v>57270</v>
      </c>
      <c r="K47" s="4" t="b">
        <v>0</v>
      </c>
      <c r="L47" t="inlineStr">
        <is>
          <t>2049-03-18</t>
        </is>
      </c>
      <c r="M47" t="n">
        <v>4.611</v>
      </c>
      <c r="N47" t="n">
        <v>-318.1</v>
      </c>
      <c r="O47" t="n">
        <v>381506</v>
      </c>
      <c r="P47" t="n">
        <v>1213576</v>
      </c>
      <c r="Q47" t="inlineStr"/>
      <c r="R47" t="inlineStr"/>
    </row>
    <row r="48">
      <c r="A48" t="n">
        <v>46</v>
      </c>
      <c r="B48" t="inlineStr">
        <is>
          <t>2049-09-22</t>
        </is>
      </c>
      <c r="C48" t="inlineStr">
        <is>
          <t>2050-03-22</t>
        </is>
      </c>
      <c r="D48" t="inlineStr">
        <is>
          <t>2050-03-22</t>
        </is>
      </c>
      <c r="E48" t="n">
        <v>0.4959</v>
      </c>
      <c r="F48" t="n">
        <v>-70912</v>
      </c>
      <c r="G48" t="n">
        <v>249280</v>
      </c>
      <c r="H48" t="n">
        <v>178368</v>
      </c>
      <c r="I48" t="n">
        <v>0.308071</v>
      </c>
      <c r="J48" t="n">
        <v>54950</v>
      </c>
      <c r="K48" s="4" t="b">
        <v>0</v>
      </c>
      <c r="L48" t="inlineStr">
        <is>
          <t>2049-09-20</t>
        </is>
      </c>
      <c r="M48" t="n">
        <v>4.5929</v>
      </c>
      <c r="N48" t="n">
        <v>-316.3</v>
      </c>
      <c r="O48" t="n">
        <v>365588</v>
      </c>
      <c r="P48" t="n">
        <v>1156306</v>
      </c>
      <c r="Q48" t="inlineStr"/>
      <c r="R48" t="inlineStr"/>
    </row>
    <row r="49">
      <c r="A49" t="n">
        <v>47</v>
      </c>
      <c r="B49" t="inlineStr">
        <is>
          <t>2050-03-22</t>
        </is>
      </c>
      <c r="C49" t="inlineStr">
        <is>
          <t>2050-09-22</t>
        </is>
      </c>
      <c r="D49" t="inlineStr">
        <is>
          <t>2050-09-22</t>
        </is>
      </c>
      <c r="E49" t="n">
        <v>0.5041</v>
      </c>
      <c r="F49" t="n">
        <v>-72088</v>
      </c>
      <c r="G49" t="n">
        <v>253464</v>
      </c>
      <c r="H49" t="n">
        <v>181376</v>
      </c>
      <c r="I49" t="n">
        <v>0.300456</v>
      </c>
      <c r="J49" t="n">
        <v>54495</v>
      </c>
      <c r="K49" s="4" t="b">
        <v>0</v>
      </c>
      <c r="L49" t="inlineStr">
        <is>
          <t>2050-03-18</t>
        </is>
      </c>
      <c r="M49" t="n">
        <v>4.5739</v>
      </c>
      <c r="N49" t="n">
        <v>-314.4</v>
      </c>
      <c r="O49" t="n">
        <v>350312</v>
      </c>
      <c r="P49" t="n">
        <v>1101356</v>
      </c>
      <c r="Q49" t="inlineStr"/>
      <c r="R49" t="inlineStr"/>
    </row>
    <row r="50">
      <c r="A50" t="n">
        <v>48</v>
      </c>
      <c r="B50" t="inlineStr">
        <is>
          <t>2050-09-22</t>
        </is>
      </c>
      <c r="C50" t="inlineStr">
        <is>
          <t>2051-03-22</t>
        </is>
      </c>
      <c r="D50" t="inlineStr">
        <is>
          <t>2051-03-22</t>
        </is>
      </c>
      <c r="E50" t="n">
        <v>0.4959</v>
      </c>
      <c r="F50" t="n">
        <v>-70912</v>
      </c>
      <c r="G50" t="n">
        <v>249280</v>
      </c>
      <c r="H50" t="n">
        <v>178368</v>
      </c>
      <c r="I50" t="n">
        <v>0.293148</v>
      </c>
      <c r="J50" t="n">
        <v>52288</v>
      </c>
      <c r="K50" s="4" t="b">
        <v>0</v>
      </c>
      <c r="L50" t="inlineStr">
        <is>
          <t>2050-09-20</t>
        </is>
      </c>
      <c r="M50" t="n">
        <v>4.5534</v>
      </c>
      <c r="N50" t="n">
        <v>-312.3</v>
      </c>
      <c r="O50" t="n">
        <v>335165</v>
      </c>
      <c r="P50" t="n">
        <v>1046861</v>
      </c>
      <c r="Q50" t="inlineStr"/>
      <c r="R50" t="inlineStr"/>
    </row>
    <row r="51">
      <c r="A51" t="n">
        <v>49</v>
      </c>
      <c r="B51" t="inlineStr">
        <is>
          <t>2051-03-22</t>
        </is>
      </c>
      <c r="C51" t="inlineStr">
        <is>
          <t>2051-09-22</t>
        </is>
      </c>
      <c r="D51" t="inlineStr">
        <is>
          <t>2051-09-22</t>
        </is>
      </c>
      <c r="E51" t="n">
        <v>0.5041</v>
      </c>
      <c r="F51" t="n">
        <v>-72088</v>
      </c>
      <c r="G51" t="n">
        <v>253464</v>
      </c>
      <c r="H51" t="n">
        <v>181376</v>
      </c>
      <c r="I51" t="n">
        <v>0.285901</v>
      </c>
      <c r="J51" t="n">
        <v>51856</v>
      </c>
      <c r="K51" s="4" t="b">
        <v>0</v>
      </c>
      <c r="L51" t="inlineStr">
        <is>
          <t>2051-03-20</t>
        </is>
      </c>
      <c r="M51" t="n">
        <v>4.5319</v>
      </c>
      <c r="N51" t="n">
        <v>-310.2</v>
      </c>
      <c r="O51" t="n">
        <v>320628</v>
      </c>
      <c r="P51" t="n">
        <v>994573</v>
      </c>
      <c r="Q51" t="inlineStr"/>
      <c r="R51" t="inlineStr"/>
    </row>
    <row r="52">
      <c r="A52" t="n">
        <v>50</v>
      </c>
      <c r="B52" t="inlineStr">
        <is>
          <t>2051-09-22</t>
        </is>
      </c>
      <c r="C52" t="inlineStr">
        <is>
          <t>2052-03-22</t>
        </is>
      </c>
      <c r="D52" t="inlineStr">
        <is>
          <t>2052-03-22</t>
        </is>
      </c>
      <c r="E52" t="n">
        <v>0.4986</v>
      </c>
      <c r="F52" t="n">
        <v>-71304</v>
      </c>
      <c r="G52" t="n">
        <v>250675</v>
      </c>
      <c r="H52" t="n">
        <v>179370</v>
      </c>
      <c r="I52" t="n">
        <v>0.27891</v>
      </c>
      <c r="J52" t="n">
        <v>50028</v>
      </c>
      <c r="K52" s="4" t="b">
        <v>0</v>
      </c>
      <c r="L52" t="inlineStr">
        <is>
          <t>2051-09-20</t>
        </is>
      </c>
      <c r="M52" t="n">
        <v>4.5086</v>
      </c>
      <c r="N52" t="n">
        <v>-307.9</v>
      </c>
      <c r="O52" t="n">
        <v>306216</v>
      </c>
      <c r="P52" t="n">
        <v>942717</v>
      </c>
      <c r="Q52" t="inlineStr"/>
      <c r="R52" t="inlineStr"/>
    </row>
    <row r="53">
      <c r="A53" t="n">
        <v>51</v>
      </c>
      <c r="B53" t="inlineStr">
        <is>
          <t>2052-03-22</t>
        </is>
      </c>
      <c r="C53" t="inlineStr">
        <is>
          <t>2052-09-23</t>
        </is>
      </c>
      <c r="D53" t="inlineStr">
        <is>
          <t>2052-09-23</t>
        </is>
      </c>
      <c r="E53" t="n">
        <v>0.5068</v>
      </c>
      <c r="F53" t="n">
        <v>-72479</v>
      </c>
      <c r="G53" t="n">
        <v>254859</v>
      </c>
      <c r="H53" t="n">
        <v>182379</v>
      </c>
      <c r="I53" t="n">
        <v>0.271978</v>
      </c>
      <c r="J53" t="n">
        <v>49603</v>
      </c>
      <c r="K53" s="4" t="b">
        <v>0</v>
      </c>
      <c r="L53" t="inlineStr">
        <is>
          <t>2052-03-20</t>
        </is>
      </c>
      <c r="M53" t="n">
        <v>4.4839</v>
      </c>
      <c r="N53" t="n">
        <v>-305.4</v>
      </c>
      <c r="O53" t="n">
        <v>292309</v>
      </c>
      <c r="P53" t="n">
        <v>892689</v>
      </c>
      <c r="Q53" t="inlineStr"/>
      <c r="R53" t="inlineStr"/>
    </row>
    <row r="54">
      <c r="A54" t="n">
        <v>52</v>
      </c>
      <c r="B54" t="inlineStr">
        <is>
          <t>2052-09-23</t>
        </is>
      </c>
      <c r="C54" t="inlineStr">
        <is>
          <t>2053-03-24</t>
        </is>
      </c>
      <c r="D54" t="inlineStr">
        <is>
          <t>2053-03-24</t>
        </is>
      </c>
      <c r="E54" t="n">
        <v>0.4986</v>
      </c>
      <c r="F54" t="n">
        <v>-71304</v>
      </c>
      <c r="G54" t="n">
        <v>250675</v>
      </c>
      <c r="H54" t="n">
        <v>179370</v>
      </c>
      <c r="I54" t="n">
        <v>0.265327</v>
      </c>
      <c r="J54" t="n">
        <v>47592</v>
      </c>
      <c r="K54" s="4" t="b">
        <v>0</v>
      </c>
      <c r="L54" t="inlineStr">
        <is>
          <t>2052-09-19</t>
        </is>
      </c>
      <c r="M54" t="n">
        <v>4.4568</v>
      </c>
      <c r="N54" t="n">
        <v>-302.7</v>
      </c>
      <c r="O54" t="n">
        <v>278563</v>
      </c>
      <c r="P54" t="n">
        <v>843160</v>
      </c>
      <c r="Q54" t="inlineStr"/>
      <c r="R54" t="inlineStr"/>
    </row>
    <row r="55">
      <c r="A55" t="n">
        <v>53</v>
      </c>
      <c r="B55" t="inlineStr">
        <is>
          <t>2053-03-24</t>
        </is>
      </c>
      <c r="C55" t="inlineStr">
        <is>
          <t>2053-09-22</t>
        </is>
      </c>
      <c r="D55" t="inlineStr">
        <is>
          <t>2053-09-22</t>
        </is>
      </c>
      <c r="E55" t="n">
        <v>0.4986</v>
      </c>
      <c r="F55" t="n">
        <v>-71304</v>
      </c>
      <c r="G55" t="n">
        <v>250675</v>
      </c>
      <c r="H55" t="n">
        <v>179370</v>
      </c>
      <c r="I55" t="n">
        <v>0.258839</v>
      </c>
      <c r="J55" t="n">
        <v>46428</v>
      </c>
      <c r="K55" s="4" t="b">
        <v>0</v>
      </c>
      <c r="L55" t="inlineStr">
        <is>
          <t>2053-03-20</t>
        </is>
      </c>
      <c r="M55" t="n">
        <v>4.4282</v>
      </c>
      <c r="N55" t="n">
        <v>-299.8</v>
      </c>
      <c r="O55" t="n">
        <v>265372</v>
      </c>
      <c r="P55" t="n">
        <v>795642</v>
      </c>
      <c r="Q55" t="inlineStr"/>
      <c r="R55" t="inlineStr"/>
    </row>
    <row r="56">
      <c r="A56" t="n">
        <v>54</v>
      </c>
      <c r="B56" t="inlineStr">
        <is>
          <t>2053-09-22</t>
        </is>
      </c>
      <c r="C56" t="inlineStr">
        <is>
          <t>2054-03-23</t>
        </is>
      </c>
      <c r="D56" t="inlineStr">
        <is>
          <t>2054-03-23</t>
        </is>
      </c>
      <c r="E56" t="n">
        <v>0.4986</v>
      </c>
      <c r="F56" t="n">
        <v>-71304</v>
      </c>
      <c r="G56" t="n">
        <v>250675</v>
      </c>
      <c r="H56" t="n">
        <v>179370</v>
      </c>
      <c r="I56" t="n">
        <v>0.252509</v>
      </c>
      <c r="J56" t="n">
        <v>45293</v>
      </c>
      <c r="K56" s="4" t="b">
        <v>0</v>
      </c>
      <c r="L56" t="inlineStr">
        <is>
          <t>2053-09-18</t>
        </is>
      </c>
      <c r="M56" t="n">
        <v>4.3979</v>
      </c>
      <c r="N56" t="n">
        <v>-296.8</v>
      </c>
      <c r="O56" t="n">
        <v>252387</v>
      </c>
      <c r="P56" t="n">
        <v>749066</v>
      </c>
      <c r="Q56" t="inlineStr"/>
      <c r="R56" t="inlineStr"/>
    </row>
    <row r="57">
      <c r="A57" t="n">
        <v>55</v>
      </c>
      <c r="B57" t="inlineStr">
        <is>
          <t>2054-03-23</t>
        </is>
      </c>
      <c r="C57" t="inlineStr">
        <is>
          <t>2054-09-22</t>
        </is>
      </c>
      <c r="D57" t="inlineStr">
        <is>
          <t>2054-09-22</t>
        </is>
      </c>
      <c r="E57" t="n">
        <v>0.5014</v>
      </c>
      <c r="F57" t="n">
        <v>-71696</v>
      </c>
      <c r="G57" t="n">
        <v>252069</v>
      </c>
      <c r="H57" t="n">
        <v>180373</v>
      </c>
      <c r="I57" t="n">
        <v>0.246301</v>
      </c>
      <c r="J57" t="n">
        <v>44426</v>
      </c>
      <c r="K57" s="4" t="b">
        <v>0</v>
      </c>
      <c r="L57" t="inlineStr">
        <is>
          <t>2054-03-19</t>
        </is>
      </c>
      <c r="M57" t="n">
        <v>4.3647</v>
      </c>
      <c r="N57" t="n">
        <v>-293.5</v>
      </c>
      <c r="O57" t="n">
        <v>239835</v>
      </c>
      <c r="P57" t="n">
        <v>703847</v>
      </c>
      <c r="Q57" t="inlineStr"/>
      <c r="R57" t="inlineStr"/>
    </row>
    <row r="58">
      <c r="A58" t="n">
        <v>56</v>
      </c>
      <c r="B58" t="inlineStr">
        <is>
          <t>2054-09-22</t>
        </is>
      </c>
      <c r="C58" t="inlineStr">
        <is>
          <t>2055-03-22</t>
        </is>
      </c>
      <c r="D58" t="inlineStr">
        <is>
          <t>2055-03-22</t>
        </is>
      </c>
      <c r="E58" t="n">
        <v>0.4959</v>
      </c>
      <c r="F58" t="n">
        <v>-70912</v>
      </c>
      <c r="G58" t="n">
        <v>249280</v>
      </c>
      <c r="H58" t="n">
        <v>178368</v>
      </c>
      <c r="I58" t="n">
        <v>0.24031</v>
      </c>
      <c r="J58" t="n">
        <v>42864</v>
      </c>
      <c r="K58" s="4" t="b">
        <v>0</v>
      </c>
      <c r="L58" t="inlineStr">
        <is>
          <t>2054-09-18</t>
        </is>
      </c>
      <c r="M58" t="n">
        <v>4.3289</v>
      </c>
      <c r="N58" t="n">
        <v>-289.9</v>
      </c>
      <c r="O58" t="n">
        <v>227447</v>
      </c>
      <c r="P58" t="n">
        <v>659347</v>
      </c>
      <c r="Q58" t="inlineStr"/>
      <c r="R58" t="inlineStr"/>
    </row>
    <row r="59">
      <c r="A59" t="n">
        <v>57</v>
      </c>
      <c r="B59" t="inlineStr">
        <is>
          <t>2055-03-22</t>
        </is>
      </c>
      <c r="C59" t="inlineStr">
        <is>
          <t>2055-09-22</t>
        </is>
      </c>
      <c r="D59" t="inlineStr">
        <is>
          <t>2055-09-22</t>
        </is>
      </c>
      <c r="E59" t="n">
        <v>0.5041</v>
      </c>
      <c r="F59" t="n">
        <v>-72088</v>
      </c>
      <c r="G59" t="n">
        <v>253464</v>
      </c>
      <c r="H59" t="n">
        <v>181376</v>
      </c>
      <c r="I59" t="n">
        <v>0.23437</v>
      </c>
      <c r="J59" t="n">
        <v>42509</v>
      </c>
      <c r="K59" s="4" t="b">
        <v>0</v>
      </c>
      <c r="L59" t="inlineStr">
        <is>
          <t>2055-03-18</t>
        </is>
      </c>
      <c r="M59" t="n">
        <v>4.2903</v>
      </c>
      <c r="N59" t="n">
        <v>-286</v>
      </c>
      <c r="O59" t="n">
        <v>215530</v>
      </c>
      <c r="P59" t="n">
        <v>616484</v>
      </c>
      <c r="Q59" t="inlineStr"/>
      <c r="R59" t="inlineStr"/>
    </row>
    <row r="60">
      <c r="A60" t="n">
        <v>58</v>
      </c>
      <c r="B60" t="inlineStr">
        <is>
          <t>2055-09-22</t>
        </is>
      </c>
      <c r="C60" t="inlineStr">
        <is>
          <t>2056-03-22</t>
        </is>
      </c>
      <c r="D60" t="inlineStr">
        <is>
          <t>2056-03-22</t>
        </is>
      </c>
      <c r="E60" t="n">
        <v>0.4986</v>
      </c>
      <c r="F60" t="n">
        <v>-71304</v>
      </c>
      <c r="G60" t="n">
        <v>250675</v>
      </c>
      <c r="H60" t="n">
        <v>179370</v>
      </c>
      <c r="I60" t="n">
        <v>0.228638</v>
      </c>
      <c r="J60" t="n">
        <v>41011</v>
      </c>
      <c r="K60" s="4" t="b">
        <v>0</v>
      </c>
      <c r="L60" t="inlineStr">
        <is>
          <t>2055-09-20</t>
        </is>
      </c>
      <c r="M60" t="n">
        <v>4.2475</v>
      </c>
      <c r="N60" t="n">
        <v>-281.8</v>
      </c>
      <c r="O60" t="n">
        <v>203716</v>
      </c>
      <c r="P60" t="n">
        <v>573975</v>
      </c>
      <c r="Q60" t="inlineStr"/>
      <c r="R60" t="inlineStr"/>
    </row>
    <row r="61">
      <c r="A61" t="n">
        <v>59</v>
      </c>
      <c r="B61" t="inlineStr">
        <is>
          <t>2056-03-22</t>
        </is>
      </c>
      <c r="C61" t="inlineStr">
        <is>
          <t>2056-09-22</t>
        </is>
      </c>
      <c r="D61" t="inlineStr">
        <is>
          <t>2056-09-22</t>
        </is>
      </c>
      <c r="E61" t="n">
        <v>0.5041</v>
      </c>
      <c r="F61" t="n">
        <v>-72088</v>
      </c>
      <c r="G61" t="n">
        <v>253464</v>
      </c>
      <c r="H61" t="n">
        <v>181376</v>
      </c>
      <c r="I61" t="n">
        <v>0.222986</v>
      </c>
      <c r="J61" t="n">
        <v>40444</v>
      </c>
      <c r="K61" s="4" t="b">
        <v>0</v>
      </c>
      <c r="L61" t="inlineStr">
        <is>
          <t>2056-03-20</t>
        </is>
      </c>
      <c r="M61" t="n">
        <v>4.2013</v>
      </c>
      <c r="N61" t="n">
        <v>-277.1</v>
      </c>
      <c r="O61" t="n">
        <v>192315</v>
      </c>
      <c r="P61" t="n">
        <v>532964</v>
      </c>
      <c r="Q61" t="inlineStr"/>
      <c r="R61" t="inlineStr"/>
    </row>
    <row r="62">
      <c r="A62" t="n">
        <v>60</v>
      </c>
      <c r="B62" t="inlineStr">
        <is>
          <t>2056-09-22</t>
        </is>
      </c>
      <c r="C62" t="inlineStr">
        <is>
          <t>2057-03-22</t>
        </is>
      </c>
      <c r="D62" t="inlineStr">
        <is>
          <t>2057-03-22</t>
        </is>
      </c>
      <c r="E62" t="n">
        <v>0.4959</v>
      </c>
      <c r="F62" t="n">
        <v>-70912</v>
      </c>
      <c r="G62" t="n">
        <v>205775</v>
      </c>
      <c r="H62" t="n">
        <v>134863</v>
      </c>
      <c r="I62" t="n">
        <v>0.21849</v>
      </c>
      <c r="J62" t="n">
        <v>29466</v>
      </c>
      <c r="K62" s="4" t="b">
        <v>0</v>
      </c>
      <c r="L62" t="inlineStr">
        <is>
          <t>2056-09-20</t>
        </is>
      </c>
      <c r="M62" t="n">
        <v>4.15</v>
      </c>
      <c r="N62" t="n">
        <v>-272</v>
      </c>
      <c r="O62" t="n">
        <v>181074</v>
      </c>
      <c r="P62" t="n">
        <v>492519</v>
      </c>
      <c r="Q62" t="inlineStr"/>
      <c r="R62" t="inlineStr"/>
    </row>
    <row r="63">
      <c r="A63" t="n">
        <v>61</v>
      </c>
      <c r="B63" t="inlineStr">
        <is>
          <t>2057-03-22</t>
        </is>
      </c>
      <c r="C63" t="inlineStr">
        <is>
          <t>2057-09-24</t>
        </is>
      </c>
      <c r="D63" t="inlineStr">
        <is>
          <t>2057-09-24</t>
        </is>
      </c>
      <c r="E63" t="n">
        <v>0.5096000000000001</v>
      </c>
      <c r="F63" t="n">
        <v>-72871</v>
      </c>
      <c r="G63" t="n">
        <v>211519</v>
      </c>
      <c r="H63" t="n">
        <v>138648</v>
      </c>
      <c r="I63" t="n">
        <v>0.213965</v>
      </c>
      <c r="J63" t="n">
        <v>29666</v>
      </c>
      <c r="K63" s="4" t="b">
        <v>0</v>
      </c>
      <c r="L63" t="inlineStr">
        <is>
          <t>2057-03-20</t>
        </is>
      </c>
      <c r="M63" t="n">
        <v>4.15</v>
      </c>
      <c r="N63" t="n">
        <v>-272</v>
      </c>
      <c r="O63" t="n">
        <v>170239</v>
      </c>
      <c r="P63" t="n">
        <v>463053</v>
      </c>
      <c r="Q63" t="inlineStr"/>
      <c r="R63" t="inlineStr"/>
    </row>
    <row r="64">
      <c r="A64" t="n">
        <v>62</v>
      </c>
      <c r="B64" t="inlineStr">
        <is>
          <t>2057-09-24</t>
        </is>
      </c>
      <c r="C64" t="inlineStr">
        <is>
          <t>2058-03-22</t>
        </is>
      </c>
      <c r="D64" t="inlineStr">
        <is>
          <t>2058-03-22</t>
        </is>
      </c>
      <c r="E64" t="n">
        <v>0.4904</v>
      </c>
      <c r="F64" t="n">
        <v>-70129</v>
      </c>
      <c r="G64" t="n">
        <v>203478</v>
      </c>
      <c r="H64" t="n">
        <v>133350</v>
      </c>
      <c r="I64" t="n">
        <v>0.209698</v>
      </c>
      <c r="J64" t="n">
        <v>27963</v>
      </c>
      <c r="K64" s="4" t="b">
        <v>0</v>
      </c>
      <c r="L64" t="inlineStr">
        <is>
          <t>2057-09-20</t>
        </is>
      </c>
      <c r="M64" t="n">
        <v>4.1495</v>
      </c>
      <c r="N64" t="n">
        <v>-272</v>
      </c>
      <c r="O64" t="n">
        <v>159415</v>
      </c>
      <c r="P64" t="n">
        <v>433535</v>
      </c>
      <c r="Q64" t="inlineStr"/>
      <c r="R64" t="inlineStr"/>
    </row>
    <row r="65">
      <c r="A65" t="n">
        <v>63</v>
      </c>
      <c r="B65" t="inlineStr">
        <is>
          <t>2058-03-22</t>
        </is>
      </c>
      <c r="C65" t="inlineStr">
        <is>
          <t>2058-09-23</t>
        </is>
      </c>
      <c r="D65" t="inlineStr">
        <is>
          <t>2058-09-23</t>
        </is>
      </c>
      <c r="E65" t="n">
        <v>0.5068</v>
      </c>
      <c r="F65" t="n">
        <v>-72479</v>
      </c>
      <c r="G65" t="n">
        <v>210370</v>
      </c>
      <c r="H65" t="n">
        <v>137891</v>
      </c>
      <c r="I65" t="n">
        <v>0.205377</v>
      </c>
      <c r="J65" t="n">
        <v>28320</v>
      </c>
      <c r="K65" s="4" t="b">
        <v>0</v>
      </c>
      <c r="L65" t="inlineStr">
        <is>
          <t>2058-03-20</t>
        </is>
      </c>
      <c r="M65" t="n">
        <v>4.15</v>
      </c>
      <c r="N65" t="n">
        <v>-272</v>
      </c>
      <c r="O65" t="n">
        <v>149052</v>
      </c>
      <c r="P65" t="n">
        <v>405424</v>
      </c>
      <c r="Q65" t="inlineStr"/>
      <c r="R65" t="inlineStr"/>
    </row>
    <row r="66">
      <c r="A66" t="n">
        <v>64</v>
      </c>
      <c r="B66" t="inlineStr">
        <is>
          <t>2058-09-23</t>
        </is>
      </c>
      <c r="C66" t="inlineStr">
        <is>
          <t>2059-03-24</t>
        </is>
      </c>
      <c r="D66" t="inlineStr">
        <is>
          <t>2059-03-24</t>
        </is>
      </c>
      <c r="E66" t="n">
        <v>0.4986</v>
      </c>
      <c r="F66" t="n">
        <v>-71304</v>
      </c>
      <c r="G66" t="n">
        <v>206924</v>
      </c>
      <c r="H66" t="n">
        <v>135620</v>
      </c>
      <c r="I66" t="n">
        <v>0.201214</v>
      </c>
      <c r="J66" t="n">
        <v>27289</v>
      </c>
      <c r="K66" s="4" t="b">
        <v>0</v>
      </c>
      <c r="L66" t="inlineStr">
        <is>
          <t>2058-09-19</t>
        </is>
      </c>
      <c r="M66" t="n">
        <v>4.1497</v>
      </c>
      <c r="N66" t="n">
        <v>-272</v>
      </c>
      <c r="O66" t="n">
        <v>138682</v>
      </c>
      <c r="P66" t="n">
        <v>377178</v>
      </c>
      <c r="Q66" t="inlineStr"/>
      <c r="R66" t="inlineStr"/>
    </row>
    <row r="67">
      <c r="A67" t="n">
        <v>65</v>
      </c>
      <c r="B67" t="inlineStr">
        <is>
          <t>2059-03-24</t>
        </is>
      </c>
      <c r="C67" t="inlineStr">
        <is>
          <t>2059-09-22</t>
        </is>
      </c>
      <c r="D67" t="inlineStr">
        <is>
          <t>2059-09-22</t>
        </is>
      </c>
      <c r="E67" t="n">
        <v>0.4986</v>
      </c>
      <c r="F67" t="n">
        <v>-71304</v>
      </c>
      <c r="G67" t="n">
        <v>206924</v>
      </c>
      <c r="H67" t="n">
        <v>135620</v>
      </c>
      <c r="I67" t="n">
        <v>0.197134</v>
      </c>
      <c r="J67" t="n">
        <v>26735</v>
      </c>
      <c r="K67" s="4" t="b">
        <v>0</v>
      </c>
      <c r="L67" t="inlineStr">
        <is>
          <t>2059-03-20</t>
        </is>
      </c>
      <c r="M67" t="n">
        <v>4.1495</v>
      </c>
      <c r="N67" t="n">
        <v>-271.9</v>
      </c>
      <c r="O67" t="n">
        <v>128689</v>
      </c>
      <c r="P67" t="n">
        <v>349964</v>
      </c>
      <c r="Q67" t="inlineStr"/>
      <c r="R67" t="inlineStr"/>
    </row>
    <row r="68">
      <c r="A68" t="n">
        <v>66</v>
      </c>
      <c r="B68" t="inlineStr">
        <is>
          <t>2059-09-22</t>
        </is>
      </c>
      <c r="C68" t="inlineStr">
        <is>
          <t>2060-03-22</t>
        </is>
      </c>
      <c r="D68" t="inlineStr">
        <is>
          <t>2060-03-22</t>
        </is>
      </c>
      <c r="E68" t="n">
        <v>0.4986</v>
      </c>
      <c r="F68" t="n">
        <v>-71304</v>
      </c>
      <c r="G68" t="n">
        <v>206924</v>
      </c>
      <c r="H68" t="n">
        <v>135620</v>
      </c>
      <c r="I68" t="n">
        <v>0.193138</v>
      </c>
      <c r="J68" t="n">
        <v>26193</v>
      </c>
      <c r="K68" s="4" t="b">
        <v>0</v>
      </c>
      <c r="L68" t="inlineStr">
        <is>
          <t>2059-09-18</t>
        </is>
      </c>
      <c r="M68" t="n">
        <v>4.15</v>
      </c>
      <c r="N68" t="n">
        <v>-272</v>
      </c>
      <c r="O68" t="n">
        <v>118780</v>
      </c>
      <c r="P68" t="n">
        <v>323081</v>
      </c>
      <c r="Q68" t="inlineStr"/>
      <c r="R68" t="inlineStr"/>
    </row>
    <row r="69">
      <c r="A69" t="n">
        <v>67</v>
      </c>
      <c r="B69" t="inlineStr">
        <is>
          <t>2060-03-22</t>
        </is>
      </c>
      <c r="C69" t="inlineStr">
        <is>
          <t>2060-09-22</t>
        </is>
      </c>
      <c r="D69" t="inlineStr">
        <is>
          <t>2060-09-22</t>
        </is>
      </c>
      <c r="E69" t="n">
        <v>0.5041</v>
      </c>
      <c r="F69" t="n">
        <v>-72088</v>
      </c>
      <c r="G69" t="n">
        <v>209221</v>
      </c>
      <c r="H69" t="n">
        <v>137134</v>
      </c>
      <c r="I69" t="n">
        <v>0.18918</v>
      </c>
      <c r="J69" t="n">
        <v>25943</v>
      </c>
      <c r="K69" s="4" t="b">
        <v>0</v>
      </c>
      <c r="L69" t="inlineStr">
        <is>
          <t>2060-03-18</t>
        </is>
      </c>
      <c r="M69" t="n">
        <v>4.15</v>
      </c>
      <c r="N69" t="n">
        <v>-272</v>
      </c>
      <c r="O69" t="n">
        <v>109149</v>
      </c>
      <c r="P69" t="n">
        <v>296887</v>
      </c>
      <c r="Q69" t="inlineStr"/>
      <c r="R69" t="inlineStr"/>
    </row>
    <row r="70">
      <c r="A70" t="n">
        <v>68</v>
      </c>
      <c r="B70" t="inlineStr">
        <is>
          <t>2060-09-22</t>
        </is>
      </c>
      <c r="C70" t="inlineStr">
        <is>
          <t>2061-03-22</t>
        </is>
      </c>
      <c r="D70" t="inlineStr">
        <is>
          <t>2061-03-22</t>
        </is>
      </c>
      <c r="E70" t="n">
        <v>0.4959</v>
      </c>
      <c r="F70" t="n">
        <v>-70912</v>
      </c>
      <c r="G70" t="n">
        <v>205775</v>
      </c>
      <c r="H70" t="n">
        <v>134863</v>
      </c>
      <c r="I70" t="n">
        <v>0.185366</v>
      </c>
      <c r="J70" t="n">
        <v>24999</v>
      </c>
      <c r="K70" s="4" t="b">
        <v>0</v>
      </c>
      <c r="L70" t="inlineStr">
        <is>
          <t>2060-09-20</t>
        </is>
      </c>
      <c r="M70" t="n">
        <v>4.15</v>
      </c>
      <c r="N70" t="n">
        <v>-272</v>
      </c>
      <c r="O70" t="n">
        <v>99613</v>
      </c>
      <c r="P70" t="n">
        <v>270944</v>
      </c>
      <c r="Q70" t="inlineStr"/>
      <c r="R70" t="inlineStr"/>
    </row>
    <row r="71">
      <c r="A71" t="n">
        <v>69</v>
      </c>
      <c r="B71" t="inlineStr">
        <is>
          <t>2061-03-22</t>
        </is>
      </c>
      <c r="C71" t="inlineStr">
        <is>
          <t>2061-09-22</t>
        </is>
      </c>
      <c r="D71" t="inlineStr">
        <is>
          <t>2061-09-22</t>
        </is>
      </c>
      <c r="E71" t="n">
        <v>0.5041</v>
      </c>
      <c r="F71" t="n">
        <v>-72088</v>
      </c>
      <c r="G71" t="n">
        <v>209221</v>
      </c>
      <c r="H71" t="n">
        <v>137134</v>
      </c>
      <c r="I71" t="n">
        <v>0.181567</v>
      </c>
      <c r="J71" t="n">
        <v>24899</v>
      </c>
      <c r="K71" s="4" t="b">
        <v>0</v>
      </c>
      <c r="L71" t="inlineStr">
        <is>
          <t>2061-03-18</t>
        </is>
      </c>
      <c r="M71" t="n">
        <v>4.15</v>
      </c>
      <c r="N71" t="n">
        <v>-272</v>
      </c>
      <c r="O71" t="n">
        <v>90421</v>
      </c>
      <c r="P71" t="n">
        <v>245946</v>
      </c>
      <c r="Q71" t="inlineStr"/>
      <c r="R71" t="inlineStr"/>
    </row>
    <row r="72">
      <c r="A72" t="n">
        <v>70</v>
      </c>
      <c r="B72" t="inlineStr">
        <is>
          <t>2061-09-22</t>
        </is>
      </c>
      <c r="C72" t="inlineStr">
        <is>
          <t>2062-03-22</t>
        </is>
      </c>
      <c r="D72" t="inlineStr">
        <is>
          <t>2062-03-22</t>
        </is>
      </c>
      <c r="E72" t="n">
        <v>0.4959</v>
      </c>
      <c r="F72" t="n">
        <v>-70912</v>
      </c>
      <c r="G72" t="n">
        <v>205775</v>
      </c>
      <c r="H72" t="n">
        <v>134863</v>
      </c>
      <c r="I72" t="n">
        <v>0.177906</v>
      </c>
      <c r="J72" t="n">
        <v>23993</v>
      </c>
      <c r="K72" s="4" t="b">
        <v>0</v>
      </c>
      <c r="L72" t="inlineStr">
        <is>
          <t>2061-09-20</t>
        </is>
      </c>
      <c r="M72" t="n">
        <v>4.15</v>
      </c>
      <c r="N72" t="n">
        <v>-272</v>
      </c>
      <c r="O72" t="n">
        <v>81268</v>
      </c>
      <c r="P72" t="n">
        <v>221047</v>
      </c>
      <c r="Q72" t="inlineStr"/>
      <c r="R72" t="inlineStr"/>
    </row>
    <row r="73">
      <c r="A73" t="n">
        <v>71</v>
      </c>
      <c r="B73" t="inlineStr">
        <is>
          <t>2062-03-22</t>
        </is>
      </c>
      <c r="C73" t="inlineStr">
        <is>
          <t>2062-09-22</t>
        </is>
      </c>
      <c r="D73" t="inlineStr">
        <is>
          <t>2062-09-22</t>
        </is>
      </c>
      <c r="E73" t="n">
        <v>0.5041</v>
      </c>
      <c r="F73" t="n">
        <v>-72088</v>
      </c>
      <c r="G73" t="n">
        <v>209221</v>
      </c>
      <c r="H73" t="n">
        <v>137134</v>
      </c>
      <c r="I73" t="n">
        <v>0.17426</v>
      </c>
      <c r="J73" t="n">
        <v>23897</v>
      </c>
      <c r="K73" s="4" t="b">
        <v>0</v>
      </c>
      <c r="L73" t="inlineStr">
        <is>
          <t>2062-03-20</t>
        </is>
      </c>
      <c r="M73" t="n">
        <v>4.15</v>
      </c>
      <c r="N73" t="n">
        <v>-272</v>
      </c>
      <c r="O73" t="n">
        <v>72445</v>
      </c>
      <c r="P73" t="n">
        <v>197054</v>
      </c>
      <c r="Q73" t="inlineStr"/>
      <c r="R73" t="inlineStr"/>
    </row>
    <row r="74">
      <c r="A74" t="n">
        <v>72</v>
      </c>
      <c r="B74" t="inlineStr">
        <is>
          <t>2062-09-22</t>
        </is>
      </c>
      <c r="C74" t="inlineStr">
        <is>
          <t>2063-03-22</t>
        </is>
      </c>
      <c r="D74" t="inlineStr">
        <is>
          <t>2063-03-22</t>
        </is>
      </c>
      <c r="E74" t="n">
        <v>0.4959</v>
      </c>
      <c r="F74" t="n">
        <v>-70912</v>
      </c>
      <c r="G74" t="n">
        <v>205775</v>
      </c>
      <c r="H74" t="n">
        <v>134863</v>
      </c>
      <c r="I74" t="n">
        <v>0.170746</v>
      </c>
      <c r="J74" t="n">
        <v>23027</v>
      </c>
      <c r="K74" s="4" t="b">
        <v>0</v>
      </c>
      <c r="L74" t="inlineStr">
        <is>
          <t>2062-09-20</t>
        </is>
      </c>
      <c r="M74" t="n">
        <v>4.15</v>
      </c>
      <c r="N74" t="n">
        <v>-272</v>
      </c>
      <c r="O74" t="n">
        <v>63661</v>
      </c>
      <c r="P74" t="n">
        <v>173157</v>
      </c>
      <c r="Q74" t="inlineStr"/>
      <c r="R74" t="inlineStr"/>
    </row>
    <row r="75">
      <c r="A75" t="n">
        <v>73</v>
      </c>
      <c r="B75" t="inlineStr">
        <is>
          <t>2063-03-22</t>
        </is>
      </c>
      <c r="C75" t="inlineStr">
        <is>
          <t>2063-09-24</t>
        </is>
      </c>
      <c r="D75" t="inlineStr">
        <is>
          <t>2063-09-24</t>
        </is>
      </c>
      <c r="E75" t="n">
        <v>0.5096000000000001</v>
      </c>
      <c r="F75" t="n">
        <v>-72871</v>
      </c>
      <c r="G75" t="n">
        <v>211519</v>
      </c>
      <c r="H75" t="n">
        <v>138648</v>
      </c>
      <c r="I75" t="n">
        <v>0.16721</v>
      </c>
      <c r="J75" t="n">
        <v>23183</v>
      </c>
      <c r="K75" s="4" t="b">
        <v>0</v>
      </c>
      <c r="L75" t="inlineStr">
        <is>
          <t>2063-03-20</t>
        </is>
      </c>
      <c r="M75" t="n">
        <v>4.1501</v>
      </c>
      <c r="N75" t="n">
        <v>-272</v>
      </c>
      <c r="O75" t="n">
        <v>55194</v>
      </c>
      <c r="P75" t="n">
        <v>150129</v>
      </c>
      <c r="Q75" t="inlineStr"/>
      <c r="R75" t="inlineStr"/>
    </row>
    <row r="76">
      <c r="A76" t="n">
        <v>74</v>
      </c>
      <c r="B76" t="inlineStr">
        <is>
          <t>2063-09-24</t>
        </is>
      </c>
      <c r="C76" t="inlineStr">
        <is>
          <t>2064-03-24</t>
        </is>
      </c>
      <c r="D76" t="inlineStr">
        <is>
          <t>2064-03-24</t>
        </is>
      </c>
      <c r="E76" t="n">
        <v>0.4986</v>
      </c>
      <c r="F76" t="n">
        <v>-71304</v>
      </c>
      <c r="G76" t="n">
        <v>206924</v>
      </c>
      <c r="H76" t="n">
        <v>135620</v>
      </c>
      <c r="I76" t="n">
        <v>0.16382</v>
      </c>
      <c r="J76" t="n">
        <v>22217</v>
      </c>
      <c r="K76" s="4" t="b">
        <v>0</v>
      </c>
      <c r="L76" t="inlineStr">
        <is>
          <t>2063-09-20</t>
        </is>
      </c>
      <c r="M76" t="n">
        <v>4.1484</v>
      </c>
      <c r="N76" t="n">
        <v>-271.8</v>
      </c>
      <c r="O76" t="n">
        <v>46752</v>
      </c>
      <c r="P76" t="n">
        <v>127094</v>
      </c>
      <c r="Q76" t="inlineStr"/>
      <c r="R76" t="inlineStr"/>
    </row>
    <row r="77">
      <c r="A77" t="n">
        <v>75</v>
      </c>
      <c r="B77" t="inlineStr">
        <is>
          <t>2064-03-24</t>
        </is>
      </c>
      <c r="C77" t="inlineStr">
        <is>
          <t>2064-09-22</t>
        </is>
      </c>
      <c r="D77" t="inlineStr">
        <is>
          <t>2064-09-22</t>
        </is>
      </c>
      <c r="E77" t="n">
        <v>0.4986</v>
      </c>
      <c r="F77" t="n">
        <v>-71304</v>
      </c>
      <c r="G77" t="n">
        <v>206924</v>
      </c>
      <c r="H77" t="n">
        <v>135620</v>
      </c>
      <c r="I77" t="n">
        <v>0.160499</v>
      </c>
      <c r="J77" t="n">
        <v>21767</v>
      </c>
      <c r="K77" s="4" t="b">
        <v>0</v>
      </c>
      <c r="L77" t="inlineStr">
        <is>
          <t>2064-03-20</t>
        </is>
      </c>
      <c r="M77" t="n">
        <v>4.1481</v>
      </c>
      <c r="N77" t="n">
        <v>-271.8</v>
      </c>
      <c r="O77" t="n">
        <v>38584</v>
      </c>
      <c r="P77" t="n">
        <v>104876</v>
      </c>
      <c r="Q77" t="inlineStr"/>
      <c r="R77" t="inlineStr"/>
    </row>
    <row r="78">
      <c r="A78" t="n">
        <v>76</v>
      </c>
      <c r="B78" t="inlineStr">
        <is>
          <t>2064-09-22</t>
        </is>
      </c>
      <c r="C78" t="inlineStr">
        <is>
          <t>2065-03-23</t>
        </is>
      </c>
      <c r="D78" t="inlineStr">
        <is>
          <t>2065-03-23</t>
        </is>
      </c>
      <c r="E78" t="n">
        <v>0.4986</v>
      </c>
      <c r="F78" t="n">
        <v>-71304</v>
      </c>
      <c r="G78" t="n">
        <v>206924</v>
      </c>
      <c r="H78" t="n">
        <v>135620</v>
      </c>
      <c r="I78" t="n">
        <v>0.157245</v>
      </c>
      <c r="J78" t="n">
        <v>21326</v>
      </c>
      <c r="K78" s="4" t="b">
        <v>0</v>
      </c>
      <c r="L78" t="inlineStr">
        <is>
          <t>2064-09-18</t>
        </is>
      </c>
      <c r="M78" t="n">
        <v>4.15</v>
      </c>
      <c r="N78" t="n">
        <v>-272</v>
      </c>
      <c r="O78" t="n">
        <v>30501</v>
      </c>
      <c r="P78" t="n">
        <v>82962</v>
      </c>
      <c r="Q78" t="inlineStr"/>
      <c r="R78" t="inlineStr"/>
    </row>
    <row r="79">
      <c r="A79" t="n">
        <v>77</v>
      </c>
      <c r="B79" t="inlineStr">
        <is>
          <t>2065-03-23</t>
        </is>
      </c>
      <c r="C79" t="inlineStr">
        <is>
          <t>2065-09-22</t>
        </is>
      </c>
      <c r="D79" t="inlineStr">
        <is>
          <t>2065-09-22</t>
        </is>
      </c>
      <c r="E79" t="n">
        <v>0.5014</v>
      </c>
      <c r="F79" t="n">
        <v>-71696</v>
      </c>
      <c r="G79" t="n">
        <v>208072</v>
      </c>
      <c r="H79" t="n">
        <v>136376</v>
      </c>
      <c r="I79" t="n">
        <v>0.15404</v>
      </c>
      <c r="J79" t="n">
        <v>21007</v>
      </c>
      <c r="K79" s="4" t="b">
        <v>0</v>
      </c>
      <c r="L79" t="inlineStr">
        <is>
          <t>2065-03-19</t>
        </is>
      </c>
      <c r="M79" t="n">
        <v>4.1485</v>
      </c>
      <c r="N79" t="n">
        <v>-271.8</v>
      </c>
      <c r="O79" t="n">
        <v>22700</v>
      </c>
      <c r="P79" t="n">
        <v>61710</v>
      </c>
      <c r="Q79" t="inlineStr"/>
      <c r="R79" t="inlineStr"/>
    </row>
    <row r="80">
      <c r="A80" t="n">
        <v>78</v>
      </c>
      <c r="B80" t="inlineStr">
        <is>
          <t>2065-09-22</t>
        </is>
      </c>
      <c r="C80" t="inlineStr">
        <is>
          <t>2066-03-22</t>
        </is>
      </c>
      <c r="D80" t="inlineStr">
        <is>
          <t>2066-03-22</t>
        </is>
      </c>
      <c r="E80" t="n">
        <v>0.4959</v>
      </c>
      <c r="F80" t="n">
        <v>-70912</v>
      </c>
      <c r="G80" t="n">
        <v>205775</v>
      </c>
      <c r="H80" t="n">
        <v>134863</v>
      </c>
      <c r="I80" t="n">
        <v>0.150934</v>
      </c>
      <c r="J80" t="n">
        <v>20355</v>
      </c>
      <c r="K80" s="4" t="b">
        <v>0</v>
      </c>
      <c r="L80" t="inlineStr">
        <is>
          <t>2065-09-18</t>
        </is>
      </c>
      <c r="M80" t="n">
        <v>4.15</v>
      </c>
      <c r="N80" t="n">
        <v>-272</v>
      </c>
      <c r="O80" t="n">
        <v>14937</v>
      </c>
      <c r="P80" t="n">
        <v>40629</v>
      </c>
      <c r="Q80" t="inlineStr"/>
      <c r="R80" t="inlineStr"/>
    </row>
    <row r="81">
      <c r="A81" t="n">
        <v>79</v>
      </c>
      <c r="B81" t="inlineStr">
        <is>
          <t>2066-03-22</t>
        </is>
      </c>
      <c r="C81" t="inlineStr">
        <is>
          <t>2066-09-22</t>
        </is>
      </c>
      <c r="D81" t="inlineStr">
        <is>
          <t>2066-09-22</t>
        </is>
      </c>
      <c r="E81" t="n">
        <v>0.5041</v>
      </c>
      <c r="F81" t="n">
        <v>-72088</v>
      </c>
      <c r="G81" t="n">
        <v>209221</v>
      </c>
      <c r="H81" t="n">
        <v>137134</v>
      </c>
      <c r="I81" t="n">
        <v>0.147841</v>
      </c>
      <c r="J81" t="n">
        <v>20274</v>
      </c>
      <c r="K81" s="4" t="b">
        <v>0</v>
      </c>
      <c r="L81" t="inlineStr">
        <is>
          <t>2066-03-18</t>
        </is>
      </c>
      <c r="M81" t="n">
        <v>4.1503</v>
      </c>
      <c r="N81" t="n">
        <v>-272</v>
      </c>
      <c r="O81" t="n">
        <v>7453</v>
      </c>
      <c r="P81" t="n">
        <v>20274</v>
      </c>
      <c r="Q81" t="inlineStr"/>
      <c r="R8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c r="A1" s="5" t="inlineStr">
        <is>
          <t>Priced at</t>
        </is>
      </c>
      <c r="B1" t="inlineStr">
        <is>
          <t>reference run 2026-09-22 (live data, 40y, semi-annual 2-15, at model-fair 1.10%)</t>
        </is>
      </c>
      <c r="E1" s="5" t="inlineStr">
        <is>
          <t>European ladder</t>
        </is>
      </c>
    </row>
    <row r="2">
      <c r="A2" s="5" t="inlineStr">
        <is>
          <t>Market as-of</t>
        </is>
      </c>
      <c r="B2" t="inlineStr">
        <is>
          <t>2026-09-22</t>
        </is>
      </c>
      <c r="E2" s="3" t="inlineStr">
        <is>
          <t>Expiry (y)</t>
        </is>
      </c>
      <c r="F2" s="3" t="inlineStr">
        <is>
          <t>Value £</t>
        </is>
      </c>
      <c r="G2" s="3" t="inlineStr">
        <is>
          <t>Forward swap £</t>
        </is>
      </c>
    </row>
    <row r="3">
      <c r="A3" s="5" t="inlineStr">
        <is>
          <t>Structure</t>
        </is>
      </c>
      <c r="B3" t="inlineStr">
        <is>
          <t>40y, calls 2-15y every 6m</t>
        </is>
      </c>
      <c r="E3" t="n">
        <v>2</v>
      </c>
      <c r="F3" t="n">
        <v>6001490</v>
      </c>
      <c r="G3" t="n">
        <v>5951713</v>
      </c>
    </row>
    <row r="4">
      <c r="A4" s="5" t="inlineStr">
        <is>
          <t>Model-fair rate %</t>
        </is>
      </c>
      <c r="B4" t="n">
        <v>1.1</v>
      </c>
    </row>
    <row r="5">
      <c r="A5" s="5" t="inlineStr">
        <is>
          <t>Dealt rate, collateral %</t>
        </is>
      </c>
      <c r="B5" t="n">
        <v>1.43</v>
      </c>
      <c r="E5" t="inlineStr">
        <is>
          <t>(reference values; the script rewrites this block on every run)</t>
        </is>
      </c>
    </row>
    <row r="6">
      <c r="A6" s="5" t="inlineStr">
        <is>
          <t>Dealt rate, no collateral %</t>
        </is>
      </c>
      <c r="B6" t="n">
        <v>1.85</v>
      </c>
    </row>
    <row r="7">
      <c r="A7" s="5" t="inlineStr">
        <is>
          <t>Fixed rate priced %</t>
        </is>
      </c>
      <c r="B7" t="n">
        <v>1.1</v>
      </c>
    </row>
    <row r="8">
      <c r="A8" s="5" t="inlineStr">
        <is>
          <t>Par swap rate %</t>
        </is>
      </c>
      <c r="B8" t="n">
        <v>4.905</v>
      </c>
    </row>
    <row r="9">
      <c r="A9" s="5" t="inlineStr">
        <is>
          <t>Annuity £ per 1%</t>
        </is>
      </c>
      <c r="B9" t="n">
        <v>1737393</v>
      </c>
    </row>
    <row r="10">
      <c r="A10" s="5" t="inlineStr">
        <is>
          <t>Cancel right, value to bank £</t>
        </is>
      </c>
      <c r="B10" t="n">
        <v>6612323</v>
      </c>
    </row>
    <row r="11">
      <c r="A11" s="5" t="inlineStr">
        <is>
          <t>Coupon discount, value to us £</t>
        </is>
      </c>
      <c r="B11" t="n">
        <v>6610459</v>
      </c>
    </row>
    <row r="12">
      <c r="A12" s="5" t="inlineStr">
        <is>
          <t>Bank's take £</t>
        </is>
      </c>
      <c r="B12" t="n">
        <v>1864</v>
      </c>
    </row>
    <row r="13">
      <c r="A13" s="5" t="inlineStr">
        <is>
          <t>Intrinsic (forward swap) £</t>
        </is>
      </c>
      <c r="B13" t="n">
        <v>5951713</v>
      </c>
    </row>
    <row r="14">
      <c r="A14" s="5" t="inlineStr">
        <is>
          <t>Best European £</t>
        </is>
      </c>
      <c r="B14" t="n">
        <v>6001490</v>
      </c>
    </row>
    <row r="15">
      <c r="A15" s="5" t="inlineStr">
        <is>
          <t>Best European expiry (y)</t>
        </is>
      </c>
      <c r="B15" t="n">
        <v>2</v>
      </c>
    </row>
    <row r="16">
      <c r="A16" s="5" t="inlineStr">
        <is>
          <t>Bermudan time value £</t>
        </is>
      </c>
      <c r="B16" t="n">
        <v>610832</v>
      </c>
    </row>
    <row r="17">
      <c r="A17" s="5" t="inlineStr">
        <is>
          <t>Multiple of best European</t>
        </is>
      </c>
      <c r="B17" t="n">
        <v>1.102</v>
      </c>
    </row>
    <row r="18">
      <c r="A18" s="5" t="inlineStr">
        <is>
          <t>£ per 10 bp of rate</t>
        </is>
      </c>
      <c r="B18" t="n">
        <v>44000</v>
      </c>
    </row>
    <row r="19">
      <c r="A19" s="5" t="inlineStr">
        <is>
          <t>Calibration error (max, relative)</t>
        </is>
      </c>
      <c r="B19" t="n">
        <v>0.0054</v>
      </c>
    </row>
    <row r="20">
      <c r="A20" s="5" t="inlineStr">
        <is>
          <t>Call dates</t>
        </is>
      </c>
      <c r="B20" t="n">
        <v>27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c r="A1" s="3" t="inlineStr">
        <is>
          <t>LOBO term (y)</t>
        </is>
      </c>
      <c r="B1" s="3" t="inlineStr">
        <is>
          <t>Coupon %</t>
        </is>
      </c>
      <c r="C1" s="3" t="inlineStr">
        <is>
          <t>Premium (pts)</t>
        </is>
      </c>
      <c r="D1" s="3" t="inlineStr">
        <is>
          <t>Dealt rate % used</t>
        </is>
      </c>
      <c r="E1" s="3" t="inlineStr">
        <is>
          <t>Gross spread bp</t>
        </is>
      </c>
      <c r="F1" s="3" t="inlineStr">
        <is>
          <t>Net spread bp</t>
        </is>
      </c>
      <c r="G1" s="3" t="inlineStr">
        <is>
          <t>Verdict</t>
        </is>
      </c>
      <c r="I1" t="inlineStr">
        <is>
          <t>Uses the fixed rate priced on the Structure tab (Results!B7). For a different term, re-price with that term.</t>
        </is>
      </c>
    </row>
    <row r="2">
      <c r="A2" t="n">
        <v>40</v>
      </c>
      <c r="B2" s="4" t="n">
        <v>4</v>
      </c>
      <c r="C2" s="4" t="n">
        <v>1</v>
      </c>
      <c r="D2">
        <f>Results!$B$7</f>
        <v/>
      </c>
      <c r="E2">
        <f>ROUND((B2-D2)*100,0)</f>
        <v/>
      </c>
      <c r="F2">
        <f>E2-Settings!$B$6*C2</f>
        <v/>
      </c>
      <c r="G2">
        <f>IF(F2&gt;=Settings!$B$8,"target",IF(F2&gt;=Settings!$B$7,"minimum","out"))</f>
        <v/>
      </c>
    </row>
    <row r="3">
      <c r="A3" t="n">
        <v>40</v>
      </c>
      <c r="B3" s="4" t="n">
        <v>4.25</v>
      </c>
      <c r="C3" s="4" t="n">
        <v>1</v>
      </c>
      <c r="D3">
        <f>Results!$B$7</f>
        <v/>
      </c>
      <c r="E3">
        <f>ROUND((B3-D3)*100,0)</f>
        <v/>
      </c>
      <c r="F3">
        <f>E3-Settings!$B$6*C3</f>
        <v/>
      </c>
      <c r="G3">
        <f>IF(F3&gt;=Settings!$B$8,"target",IF(F3&gt;=Settings!$B$7,"minimum","out"))</f>
        <v/>
      </c>
    </row>
    <row r="4">
      <c r="A4" t="n">
        <v>40</v>
      </c>
      <c r="B4" s="4" t="n">
        <v>4.5</v>
      </c>
      <c r="C4" s="4" t="n">
        <v>2</v>
      </c>
      <c r="D4">
        <f>Results!$B$7</f>
        <v/>
      </c>
      <c r="E4">
        <f>ROUND((B4-D4)*100,0)</f>
        <v/>
      </c>
      <c r="F4">
        <f>E4-Settings!$B$6*C4</f>
        <v/>
      </c>
      <c r="G4">
        <f>IF(F4&gt;=Settings!$B$8,"target",IF(F4&gt;=Settings!$B$7,"minimum","out"))</f>
        <v/>
      </c>
    </row>
    <row r="5">
      <c r="A5" t="n">
        <v>40</v>
      </c>
      <c r="B5" s="4" t="n">
        <v>4.75</v>
      </c>
      <c r="C5" s="4" t="n">
        <v>2</v>
      </c>
      <c r="D5">
        <f>Results!$B$7</f>
        <v/>
      </c>
      <c r="E5">
        <f>ROUND((B5-D5)*100,0)</f>
        <v/>
      </c>
      <c r="F5">
        <f>E5-Settings!$B$6*C5</f>
        <v/>
      </c>
      <c r="G5">
        <f>IF(F5&gt;=Settings!$B$8,"target",IF(F5&gt;=Settings!$B$7,"minimum","out"))</f>
        <v/>
      </c>
    </row>
    <row r="6">
      <c r="A6" t="n">
        <v>40</v>
      </c>
      <c r="B6" s="4" t="n">
        <v>5</v>
      </c>
      <c r="C6" s="4" t="n">
        <v>2</v>
      </c>
      <c r="D6">
        <f>Results!$B$7</f>
        <v/>
      </c>
      <c r="E6">
        <f>ROUND((B6-D6)*100,0)</f>
        <v/>
      </c>
      <c r="F6">
        <f>E6-Settings!$B$6*C6</f>
        <v/>
      </c>
      <c r="G6">
        <f>IF(F6&gt;=Settings!$B$8,"target",IF(F6&gt;=Settings!$B$7,"minimum","out"))</f>
        <v/>
      </c>
    </row>
    <row r="7">
      <c r="A7" t="n">
        <v>40</v>
      </c>
      <c r="B7" s="4" t="n">
        <v>5.5</v>
      </c>
      <c r="C7" s="4" t="n">
        <v>3</v>
      </c>
      <c r="D7">
        <f>Results!$B$7</f>
        <v/>
      </c>
      <c r="E7">
        <f>ROUND((B7-D7)*100,0)</f>
        <v/>
      </c>
      <c r="F7">
        <f>E7-Settings!$B$6*C7</f>
        <v/>
      </c>
      <c r="G7">
        <f>IF(F7&gt;=Settings!$B$8,"target",IF(F7&gt;=Settings!$B$7,"minimum","out"))</f>
        <v/>
      </c>
    </row>
    <row r="8">
      <c r="A8" t="n">
        <v>50</v>
      </c>
      <c r="B8" s="4" t="n">
        <v>4.5</v>
      </c>
      <c r="C8" s="4" t="n">
        <v>2</v>
      </c>
      <c r="D8">
        <f>Results!$B$7</f>
        <v/>
      </c>
      <c r="E8">
        <f>ROUND((B8-D8)*100,0)</f>
        <v/>
      </c>
      <c r="F8">
        <f>E8-Settings!$B$6*C8</f>
        <v/>
      </c>
      <c r="G8">
        <f>IF(F8&gt;=Settings!$B$8,"target",IF(F8&gt;=Settings!$B$7,"minimum","out"))</f>
        <v/>
      </c>
    </row>
    <row r="9">
      <c r="A9" t="n">
        <v>50</v>
      </c>
      <c r="B9" s="4" t="n">
        <v>4.75</v>
      </c>
      <c r="C9" s="4" t="n">
        <v>2</v>
      </c>
      <c r="D9">
        <f>Results!$B$7</f>
        <v/>
      </c>
      <c r="E9">
        <f>ROUND((B9-D9)*100,0)</f>
        <v/>
      </c>
      <c r="F9">
        <f>E9-Settings!$B$6*C9</f>
        <v/>
      </c>
      <c r="G9">
        <f>IF(F9&gt;=Settings!$B$8,"target",IF(F9&gt;=Settings!$B$7,"minimum","out"))</f>
        <v/>
      </c>
    </row>
    <row r="10">
      <c r="A10" t="n">
        <v>50</v>
      </c>
      <c r="B10" s="4" t="n">
        <v>5</v>
      </c>
      <c r="C10" s="4" t="n">
        <v>3</v>
      </c>
      <c r="D10">
        <f>Results!$B$7</f>
        <v/>
      </c>
      <c r="E10">
        <f>ROUND((B10-D10)*100,0)</f>
        <v/>
      </c>
      <c r="F10">
        <f>E10-Settings!$B$6*C10</f>
        <v/>
      </c>
      <c r="G10">
        <f>IF(F10&gt;=Settings!$B$8,"target",IF(F10&gt;=Settings!$B$7,"minimum","out"))</f>
        <v/>
      </c>
    </row>
    <row r="11">
      <c r="A11" t="n">
        <v>50</v>
      </c>
      <c r="B11" s="4" t="n">
        <v>5.5</v>
      </c>
      <c r="C11" s="4" t="n">
        <v>3</v>
      </c>
      <c r="D11">
        <f>Results!$B$7</f>
        <v/>
      </c>
      <c r="E11">
        <f>ROUND((B11-D11)*100,0)</f>
        <v/>
      </c>
      <c r="F11">
        <f>E11-Settings!$B$6*C11</f>
        <v/>
      </c>
      <c r="G11">
        <f>IF(F11&gt;=Settings!$B$8,"target",IF(F11&gt;=Settings!$B$7,"minimum","out"))</f>
        <v/>
      </c>
    </row>
    <row r="12">
      <c r="A12" t="n">
        <v>30</v>
      </c>
      <c r="B12" s="4" t="n">
        <v>5</v>
      </c>
      <c r="C12" s="4" t="n">
        <v>1</v>
      </c>
      <c r="D12">
        <f>Results!$B$7</f>
        <v/>
      </c>
      <c r="E12">
        <f>ROUND((B12-D12)*100,0)</f>
        <v/>
      </c>
      <c r="F12">
        <f>E12-Settings!$B$6*C12</f>
        <v/>
      </c>
      <c r="G12">
        <f>IF(F12&gt;=Settings!$B$8,"target",IF(F12&gt;=Settings!$B$7,"minimum","out"))</f>
        <v/>
      </c>
    </row>
    <row r="13">
      <c r="A13" t="n">
        <v>30</v>
      </c>
      <c r="B13" s="4" t="n">
        <v>5.5</v>
      </c>
      <c r="C13" s="4" t="n">
        <v>2</v>
      </c>
      <c r="D13">
        <f>Results!$B$7</f>
        <v/>
      </c>
      <c r="E13">
        <f>ROUND((B13-D13)*100,0)</f>
        <v/>
      </c>
      <c r="F13">
        <f>E13-Settings!$B$6*C13</f>
        <v/>
      </c>
      <c r="G13">
        <f>IF(F13&gt;=Settings!$B$8,"target",IF(F13&gt;=Settings!$B$7,"minimum","out"))</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c r="A1" s="3" t="inlineStr">
        <is>
          <t>Rates move (parallel)</t>
        </is>
      </c>
      <c r="B1" s="3" t="inlineStr">
        <is>
          <t>Investor posts £</t>
        </is>
      </c>
      <c r="C1" s="3" t="inlineStr">
        <is>
          <t>% of notional</t>
        </is>
      </c>
      <c r="G1" t="inlineStr">
        <is>
          <t>Reference: 40y at 1.43%, semi-annual 2-15, £10m, live data 2026-09-22 (from the briefing). Not recomputed by the slim script.</t>
        </is>
      </c>
    </row>
    <row r="2">
      <c r="A2" t="inlineStr">
        <is>
          <t>+50 / +100 bp</t>
        </is>
      </c>
      <c r="B2" t="n">
        <v>0</v>
      </c>
      <c r="C2" t="n">
        <v>0</v>
      </c>
    </row>
    <row r="3">
      <c r="A3" t="inlineStr">
        <is>
          <t>-25 bp</t>
        </is>
      </c>
      <c r="B3" t="n">
        <v>160000</v>
      </c>
      <c r="C3" t="n">
        <v>1.6</v>
      </c>
    </row>
    <row r="4">
      <c r="A4" t="inlineStr">
        <is>
          <t>-50 bp</t>
        </is>
      </c>
      <c r="B4" t="n">
        <v>340000</v>
      </c>
      <c r="C4" t="n">
        <v>3.4</v>
      </c>
    </row>
    <row r="5">
      <c r="A5" t="inlineStr">
        <is>
          <t>-100 bp</t>
        </is>
      </c>
      <c r="B5" t="n">
        <v>750000</v>
      </c>
      <c r="C5" t="n">
        <v>7.5</v>
      </c>
    </row>
    <row r="6">
      <c r="A6" t="inlineStr">
        <is>
          <t>-150 bp</t>
        </is>
      </c>
      <c r="B6" t="n">
        <v>1260000</v>
      </c>
      <c r="C6" t="n">
        <v>12.6</v>
      </c>
    </row>
    <row r="7">
      <c r="A7" t="inlineStr">
        <is>
          <t>-200 bp</t>
        </is>
      </c>
      <c r="B7" t="n">
        <v>1890000</v>
      </c>
      <c r="C7" t="n">
        <v>18.9</v>
      </c>
    </row>
    <row r="8">
      <c r="A8" t="inlineStr">
        <is>
          <t>-300 bp</t>
        </is>
      </c>
      <c r="B8" t="n">
        <v>3650000</v>
      </c>
      <c r="C8" t="n">
        <v>36.5</v>
      </c>
    </row>
    <row r="11">
      <c r="A11" s="3" t="inlineStr">
        <is>
          <t>Year</t>
        </is>
      </c>
      <c r="B11" s="3" t="inlineStr">
        <is>
          <t>Swap still alive</t>
        </is>
      </c>
      <c r="C11" s="3" t="inlineStr">
        <is>
          <t>Average posting £</t>
        </is>
      </c>
      <c r="D11" s="3" t="inlineStr">
        <is>
          <t>95th percentile £</t>
        </is>
      </c>
      <c r="E11" s="3" t="inlineStr">
        <is>
          <t>99th percentile £</t>
        </is>
      </c>
    </row>
    <row r="12">
      <c r="A12" t="n">
        <v>2</v>
      </c>
      <c r="B12" t="inlineStr">
        <is>
          <t>100%</t>
        </is>
      </c>
      <c r="C12" t="n">
        <v>800000</v>
      </c>
      <c r="D12" t="n">
        <v>3900000</v>
      </c>
      <c r="E12" t="n">
        <v>7800000</v>
      </c>
    </row>
    <row r="13">
      <c r="A13" t="n">
        <v>3</v>
      </c>
      <c r="B13" t="inlineStr">
        <is>
          <t>41%</t>
        </is>
      </c>
      <c r="C13" t="n">
        <v>800000</v>
      </c>
      <c r="D13" t="n">
        <v>4300000</v>
      </c>
      <c r="E13" t="n">
        <v>9300000</v>
      </c>
    </row>
    <row r="14">
      <c r="A14" t="n">
        <v>5</v>
      </c>
      <c r="B14" t="inlineStr">
        <is>
          <t>27%</t>
        </is>
      </c>
      <c r="C14" t="n">
        <v>700000</v>
      </c>
      <c r="D14" t="n">
        <v>4200000</v>
      </c>
      <c r="E14" t="n">
        <v>10100000</v>
      </c>
    </row>
    <row r="15">
      <c r="A15" t="n">
        <v>7</v>
      </c>
      <c r="B15" t="inlineStr">
        <is>
          <t>19%</t>
        </is>
      </c>
      <c r="C15" t="n">
        <v>600000</v>
      </c>
      <c r="D15" t="n">
        <v>3700000</v>
      </c>
      <c r="E15" t="n">
        <v>10600000</v>
      </c>
    </row>
    <row r="16">
      <c r="A16" t="n">
        <v>10</v>
      </c>
      <c r="B16" t="inlineStr">
        <is>
          <t>13%</t>
        </is>
      </c>
      <c r="C16" t="n">
        <v>400000</v>
      </c>
      <c r="D16" t="n">
        <v>2300000</v>
      </c>
      <c r="E16" t="n">
        <v>9200000</v>
      </c>
    </row>
    <row r="17">
      <c r="A17" t="n">
        <v>15</v>
      </c>
      <c r="B17" t="inlineStr">
        <is>
          <t>5%</t>
        </is>
      </c>
      <c r="C17" t="n">
        <v>200000</v>
      </c>
      <c r="D17" t="n">
        <v>0</v>
      </c>
      <c r="E17" t="n">
        <v>5000000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2026-09-23T21:40:21Z</dcterms:created>
  <dcterms:modified xmlns:dcterms="http://purl.org/dc/terms/" xmlns:xsi="http://www.w3.org/2001/XMLSchema-instance" xsi:type="dcterms:W3CDTF">2026-09-23T21:40:21Z</dcterms:modified>
</cp:coreProperties>
</file>